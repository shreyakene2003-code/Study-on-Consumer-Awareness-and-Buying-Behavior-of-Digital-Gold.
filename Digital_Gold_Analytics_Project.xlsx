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w_Data" sheetId="1" state="visible" r:id="rId3"/>
    <sheet name="Cleaned_Data" sheetId="2" state="visible" r:id="rId4"/>
    <sheet name="Formula_Showcase" sheetId="3" state="visible" r:id="rId5"/>
    <sheet name="Summary_Pivots" sheetId="4" state="visible" r:id="rId6"/>
    <sheet name="Charts" sheetId="5" state="visible" r:id="rId7"/>
    <sheet name="Insights_Analysis" sheetId="6" state="visible" r:id="rId8"/>
    <sheet name="Project_Documentation" sheetId="7" state="visible" r:id="rId9"/>
    <sheet name="PowerBI_Guide"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<sst xmlns="http://schemas.openxmlformats.org/spreadsheetml/2006/main" count="3351" uniqueCount="604">
  <si>
    <t xml:space="preserve">Respondent_ID</t>
  </si>
  <si>
    <t xml:space="preserve">Age</t>
  </si>
  <si>
    <t xml:space="preserve">Gender</t>
  </si>
  <si>
    <t xml:space="preserve">City</t>
  </si>
  <si>
    <t xml:space="preserve">Occupation</t>
  </si>
  <si>
    <t xml:space="preserve">Monthly_Income</t>
  </si>
  <si>
    <t xml:space="preserve">Awareness_Digital_Gold</t>
  </si>
  <si>
    <t xml:space="preserve">Platform_Used</t>
  </si>
  <si>
    <t xml:space="preserve">Frequency_of_Purchase</t>
  </si>
  <si>
    <t xml:space="preserve">Investment_Amount_INR</t>
  </si>
  <si>
    <t xml:space="preserve">Purpose_of_Buying</t>
  </si>
  <si>
    <t xml:space="preserve">Trust_Level</t>
  </si>
  <si>
    <t xml:space="preserve">Risk_Perception</t>
  </si>
  <si>
    <t xml:space="preserve">Preferred_Investment_Type</t>
  </si>
  <si>
    <t xml:space="preserve">Satisfaction_Level</t>
  </si>
  <si>
    <t xml:space="preserve">Recommendation_Likelihood</t>
  </si>
  <si>
    <t xml:space="preserve">R001</t>
  </si>
  <si>
    <t xml:space="preserve">Female</t>
  </si>
  <si>
    <t xml:space="preserve">Chennai</t>
  </si>
  <si>
    <t xml:space="preserve">Student</t>
  </si>
  <si>
    <t xml:space="preserve">20,000-40,000</t>
  </si>
  <si>
    <t xml:space="preserve">Yes</t>
  </si>
  <si>
    <t xml:space="preserve">PhonePe</t>
  </si>
  <si>
    <t xml:space="preserve">Quarterly</t>
  </si>
  <si>
    <t xml:space="preserve">Savings</t>
  </si>
  <si>
    <t xml:space="preserve">Medium</t>
  </si>
  <si>
    <t xml:space="preserve">Fixed Deposit</t>
  </si>
  <si>
    <t xml:space="preserve">R002</t>
  </si>
  <si>
    <t xml:space="preserve">Male</t>
  </si>
  <si>
    <t xml:space="preserve">Mumbai</t>
  </si>
  <si>
    <t xml:space="preserve">Homemaker</t>
  </si>
  <si>
    <t xml:space="preserve">Zerodha</t>
  </si>
  <si>
    <t xml:space="preserve">Weekly</t>
  </si>
  <si>
    <t xml:space="preserve">Investment</t>
  </si>
  <si>
    <t xml:space="preserve">Digital Gold</t>
  </si>
  <si>
    <t xml:space="preserve">R003</t>
  </si>
  <si>
    <t xml:space="preserve">Bangalore</t>
  </si>
  <si>
    <t xml:space="preserve">Salaried</t>
  </si>
  <si>
    <t xml:space="preserve">Below 20,000</t>
  </si>
  <si>
    <t xml:space="preserve">Paytm</t>
  </si>
  <si>
    <t xml:space="preserve">Daily</t>
  </si>
  <si>
    <t xml:space="preserve">Low</t>
  </si>
  <si>
    <t xml:space="preserve">R004</t>
  </si>
  <si>
    <t xml:space="preserve">Lucknow</t>
  </si>
  <si>
    <t xml:space="preserve">Government Employee</t>
  </si>
  <si>
    <t xml:space="preserve">60,000-80,000</t>
  </si>
  <si>
    <t xml:space="preserve">High</t>
  </si>
  <si>
    <t xml:space="preserve">R005</t>
  </si>
  <si>
    <t xml:space="preserve">Kolkata</t>
  </si>
  <si>
    <t xml:space="preserve">Business</t>
  </si>
  <si>
    <t xml:space="preserve">40,000-60,000</t>
  </si>
  <si>
    <t xml:space="preserve">No</t>
  </si>
  <si>
    <t xml:space="preserve">R006</t>
  </si>
  <si>
    <t xml:space="preserve">Delhi</t>
  </si>
  <si>
    <t xml:space="preserve">Freelancer</t>
  </si>
  <si>
    <t xml:space="preserve">R007</t>
  </si>
  <si>
    <t xml:space="preserve">Others</t>
  </si>
  <si>
    <t xml:space="preserve">R008</t>
  </si>
  <si>
    <t xml:space="preserve">Above 80,000</t>
  </si>
  <si>
    <t xml:space="preserve">R009</t>
  </si>
  <si>
    <t xml:space="preserve">Rarely</t>
  </si>
  <si>
    <t xml:space="preserve">R010</t>
  </si>
  <si>
    <t xml:space="preserve">Jaipur</t>
  </si>
  <si>
    <t xml:space="preserve">Google Pay</t>
  </si>
  <si>
    <t xml:space="preserve">R011</t>
  </si>
  <si>
    <t xml:space="preserve">Ahmedabad</t>
  </si>
  <si>
    <t xml:space="preserve">MMTC-PAMP</t>
  </si>
  <si>
    <t xml:space="preserve">R012</t>
  </si>
  <si>
    <t xml:space="preserve">Groww</t>
  </si>
  <si>
    <t xml:space="preserve">Monthly</t>
  </si>
  <si>
    <t xml:space="preserve">Gifting</t>
  </si>
  <si>
    <t xml:space="preserve">Mutual Funds</t>
  </si>
  <si>
    <t xml:space="preserve">R013</t>
  </si>
  <si>
    <t xml:space="preserve">R014</t>
  </si>
  <si>
    <t xml:space="preserve">R015</t>
  </si>
  <si>
    <t xml:space="preserve">R016</t>
  </si>
  <si>
    <t xml:space="preserve">R017</t>
  </si>
  <si>
    <t xml:space="preserve">R018</t>
  </si>
  <si>
    <t xml:space="preserve">R019</t>
  </si>
  <si>
    <t xml:space="preserve">Hyderabad</t>
  </si>
  <si>
    <t xml:space="preserve">R020</t>
  </si>
  <si>
    <t xml:space="preserve">R021</t>
  </si>
  <si>
    <t xml:space="preserve">R022</t>
  </si>
  <si>
    <t xml:space="preserve">R023</t>
  </si>
  <si>
    <t xml:space="preserve">Physical Gold</t>
  </si>
  <si>
    <t xml:space="preserve">R024</t>
  </si>
  <si>
    <t xml:space="preserve">R025</t>
  </si>
  <si>
    <t xml:space="preserve">R026</t>
  </si>
  <si>
    <t xml:space="preserve">R027</t>
  </si>
  <si>
    <t xml:space="preserve">R028</t>
  </si>
  <si>
    <t xml:space="preserve">R029</t>
  </si>
  <si>
    <t xml:space="preserve">R030</t>
  </si>
  <si>
    <t xml:space="preserve">R031</t>
  </si>
  <si>
    <t xml:space="preserve">R032</t>
  </si>
  <si>
    <t xml:space="preserve">R033</t>
  </si>
  <si>
    <t xml:space="preserve">R034</t>
  </si>
  <si>
    <t xml:space="preserve">R035</t>
  </si>
  <si>
    <t xml:space="preserve">R036</t>
  </si>
  <si>
    <t xml:space="preserve">R037</t>
  </si>
  <si>
    <t xml:space="preserve">R038</t>
  </si>
  <si>
    <t xml:space="preserve">R039</t>
  </si>
  <si>
    <t xml:space="preserve">R040</t>
  </si>
  <si>
    <t xml:space="preserve">R041</t>
  </si>
  <si>
    <t xml:space="preserve">R042</t>
  </si>
  <si>
    <t xml:space="preserve">R043</t>
  </si>
  <si>
    <t xml:space="preserve">R044</t>
  </si>
  <si>
    <t xml:space="preserve">R045</t>
  </si>
  <si>
    <t xml:space="preserve">R046</t>
  </si>
  <si>
    <t xml:space="preserve">R047</t>
  </si>
  <si>
    <t xml:space="preserve">R048</t>
  </si>
  <si>
    <t xml:space="preserve">R049</t>
  </si>
  <si>
    <t xml:space="preserve">R050</t>
  </si>
  <si>
    <t xml:space="preserve">R051</t>
  </si>
  <si>
    <t xml:space="preserve">R052</t>
  </si>
  <si>
    <t xml:space="preserve">Pune</t>
  </si>
  <si>
    <t xml:space="preserve">R053</t>
  </si>
  <si>
    <t xml:space="preserve">R054</t>
  </si>
  <si>
    <t xml:space="preserve">R055</t>
  </si>
  <si>
    <t xml:space="preserve">R056</t>
  </si>
  <si>
    <t xml:space="preserve">R057</t>
  </si>
  <si>
    <t xml:space="preserve">R058</t>
  </si>
  <si>
    <t xml:space="preserve">R059</t>
  </si>
  <si>
    <t xml:space="preserve">R060</t>
  </si>
  <si>
    <t xml:space="preserve">R061</t>
  </si>
  <si>
    <t xml:space="preserve">R062</t>
  </si>
  <si>
    <t xml:space="preserve">R063</t>
  </si>
  <si>
    <t xml:space="preserve">R064</t>
  </si>
  <si>
    <t xml:space="preserve">R065</t>
  </si>
  <si>
    <t xml:space="preserve">R066</t>
  </si>
  <si>
    <t xml:space="preserve">R067</t>
  </si>
  <si>
    <t xml:space="preserve">R068</t>
  </si>
  <si>
    <t xml:space="preserve">R069</t>
  </si>
  <si>
    <t xml:space="preserve">R070</t>
  </si>
  <si>
    <t xml:space="preserve">R071</t>
  </si>
  <si>
    <t xml:space="preserve">R072</t>
  </si>
  <si>
    <t xml:space="preserve">R073</t>
  </si>
  <si>
    <t xml:space="preserve">R074</t>
  </si>
  <si>
    <t xml:space="preserve">R075</t>
  </si>
  <si>
    <t xml:space="preserve">R076</t>
  </si>
  <si>
    <t xml:space="preserve">R077</t>
  </si>
  <si>
    <t xml:space="preserve">R078</t>
  </si>
  <si>
    <t xml:space="preserve">R079</t>
  </si>
  <si>
    <t xml:space="preserve">R080</t>
  </si>
  <si>
    <t xml:space="preserve">R081</t>
  </si>
  <si>
    <t xml:space="preserve">R082</t>
  </si>
  <si>
    <t xml:space="preserve">R083</t>
  </si>
  <si>
    <t xml:space="preserve">R084</t>
  </si>
  <si>
    <t xml:space="preserve">R085</t>
  </si>
  <si>
    <t xml:space="preserve">R086</t>
  </si>
  <si>
    <t xml:space="preserve">R087</t>
  </si>
  <si>
    <t xml:space="preserve">R088</t>
  </si>
  <si>
    <t xml:space="preserve">R089</t>
  </si>
  <si>
    <t xml:space="preserve">R090</t>
  </si>
  <si>
    <t xml:space="preserve">R091</t>
  </si>
  <si>
    <t xml:space="preserve">R092</t>
  </si>
  <si>
    <t xml:space="preserve">R093</t>
  </si>
  <si>
    <t xml:space="preserve">R094</t>
  </si>
  <si>
    <t xml:space="preserve">R095</t>
  </si>
  <si>
    <t xml:space="preserve">R096</t>
  </si>
  <si>
    <t xml:space="preserve">R097</t>
  </si>
  <si>
    <t xml:space="preserve">R098</t>
  </si>
  <si>
    <t xml:space="preserve">R099</t>
  </si>
  <si>
    <t xml:space="preserve">R100</t>
  </si>
  <si>
    <t xml:space="preserve">R101</t>
  </si>
  <si>
    <t xml:space="preserve">R102</t>
  </si>
  <si>
    <t xml:space="preserve">R103</t>
  </si>
  <si>
    <t xml:space="preserve">R104</t>
  </si>
  <si>
    <t xml:space="preserve">R105</t>
  </si>
  <si>
    <t xml:space="preserve">R106</t>
  </si>
  <si>
    <t xml:space="preserve">R107</t>
  </si>
  <si>
    <t xml:space="preserve">R108</t>
  </si>
  <si>
    <t xml:space="preserve">R109</t>
  </si>
  <si>
    <t xml:space="preserve">R110</t>
  </si>
  <si>
    <t xml:space="preserve">R111</t>
  </si>
  <si>
    <t xml:space="preserve">R112</t>
  </si>
  <si>
    <t xml:space="preserve">R113</t>
  </si>
  <si>
    <t xml:space="preserve">R114</t>
  </si>
  <si>
    <t xml:space="preserve">R115</t>
  </si>
  <si>
    <t xml:space="preserve">R116</t>
  </si>
  <si>
    <t xml:space="preserve">R117</t>
  </si>
  <si>
    <t xml:space="preserve">R118</t>
  </si>
  <si>
    <t xml:space="preserve">R119</t>
  </si>
  <si>
    <t xml:space="preserve">R120</t>
  </si>
  <si>
    <t xml:space="preserve">R121</t>
  </si>
  <si>
    <t xml:space="preserve">R122</t>
  </si>
  <si>
    <t xml:space="preserve">R123</t>
  </si>
  <si>
    <t xml:space="preserve">R124</t>
  </si>
  <si>
    <t xml:space="preserve">R125</t>
  </si>
  <si>
    <t xml:space="preserve">R126</t>
  </si>
  <si>
    <t xml:space="preserve">R127</t>
  </si>
  <si>
    <t xml:space="preserve">R128</t>
  </si>
  <si>
    <t xml:space="preserve">R129</t>
  </si>
  <si>
    <t xml:space="preserve">R130</t>
  </si>
  <si>
    <t xml:space="preserve">R131</t>
  </si>
  <si>
    <t xml:space="preserve">R132</t>
  </si>
  <si>
    <t xml:space="preserve">R133</t>
  </si>
  <si>
    <t xml:space="preserve">R134</t>
  </si>
  <si>
    <t xml:space="preserve">R135</t>
  </si>
  <si>
    <t xml:space="preserve">R136</t>
  </si>
  <si>
    <t xml:space="preserve">R137</t>
  </si>
  <si>
    <t xml:space="preserve">R138</t>
  </si>
  <si>
    <t xml:space="preserve">R139</t>
  </si>
  <si>
    <t xml:space="preserve">R140</t>
  </si>
  <si>
    <t xml:space="preserve">R141</t>
  </si>
  <si>
    <t xml:space="preserve">R142</t>
  </si>
  <si>
    <t xml:space="preserve">R143</t>
  </si>
  <si>
    <t xml:space="preserve">R144</t>
  </si>
  <si>
    <t xml:space="preserve">R145</t>
  </si>
  <si>
    <t xml:space="preserve">R146</t>
  </si>
  <si>
    <t xml:space="preserve">R147</t>
  </si>
  <si>
    <t xml:space="preserve">R148</t>
  </si>
  <si>
    <t xml:space="preserve">R149</t>
  </si>
  <si>
    <t xml:space="preserve">R150</t>
  </si>
  <si>
    <t xml:space="preserve">R151</t>
  </si>
  <si>
    <t xml:space="preserve">R152</t>
  </si>
  <si>
    <t xml:space="preserve">R153</t>
  </si>
  <si>
    <t xml:space="preserve">R154</t>
  </si>
  <si>
    <t xml:space="preserve">R155</t>
  </si>
  <si>
    <t xml:space="preserve">R156</t>
  </si>
  <si>
    <t xml:space="preserve">R157</t>
  </si>
  <si>
    <t xml:space="preserve">R158</t>
  </si>
  <si>
    <t xml:space="preserve">R159</t>
  </si>
  <si>
    <t xml:space="preserve">R160</t>
  </si>
  <si>
    <t xml:space="preserve">R161</t>
  </si>
  <si>
    <t xml:space="preserve">R162</t>
  </si>
  <si>
    <t xml:space="preserve">R163</t>
  </si>
  <si>
    <t xml:space="preserve">R164</t>
  </si>
  <si>
    <t xml:space="preserve">R165</t>
  </si>
  <si>
    <t xml:space="preserve">R166</t>
  </si>
  <si>
    <t xml:space="preserve">R167</t>
  </si>
  <si>
    <t xml:space="preserve">R168</t>
  </si>
  <si>
    <t xml:space="preserve">R169</t>
  </si>
  <si>
    <t xml:space="preserve">R170</t>
  </si>
  <si>
    <t xml:space="preserve">R171</t>
  </si>
  <si>
    <t xml:space="preserve">R172</t>
  </si>
  <si>
    <t xml:space="preserve">R173</t>
  </si>
  <si>
    <t xml:space="preserve">R174</t>
  </si>
  <si>
    <t xml:space="preserve">R175</t>
  </si>
  <si>
    <t xml:space="preserve">R176</t>
  </si>
  <si>
    <t xml:space="preserve">R177</t>
  </si>
  <si>
    <t xml:space="preserve">R178</t>
  </si>
  <si>
    <t xml:space="preserve">R179</t>
  </si>
  <si>
    <t xml:space="preserve">R180</t>
  </si>
  <si>
    <t xml:space="preserve">R181</t>
  </si>
  <si>
    <t xml:space="preserve">R182</t>
  </si>
  <si>
    <t xml:space="preserve">R183</t>
  </si>
  <si>
    <t xml:space="preserve">R184</t>
  </si>
  <si>
    <t xml:space="preserve">R185</t>
  </si>
  <si>
    <t xml:space="preserve">R186</t>
  </si>
  <si>
    <t xml:space="preserve">R187</t>
  </si>
  <si>
    <t xml:space="preserve">R188</t>
  </si>
  <si>
    <t xml:space="preserve">R189</t>
  </si>
  <si>
    <t xml:space="preserve">R190</t>
  </si>
  <si>
    <t xml:space="preserve">R191</t>
  </si>
  <si>
    <t xml:space="preserve">R192</t>
  </si>
  <si>
    <t xml:space="preserve">R193</t>
  </si>
  <si>
    <t xml:space="preserve">R194</t>
  </si>
  <si>
    <t xml:space="preserve">R195</t>
  </si>
  <si>
    <t xml:space="preserve">R196</t>
  </si>
  <si>
    <t xml:space="preserve">R197</t>
  </si>
  <si>
    <t xml:space="preserve">R198</t>
  </si>
  <si>
    <t xml:space="preserve">R199</t>
  </si>
  <si>
    <t xml:space="preserve">R200</t>
  </si>
  <si>
    <t xml:space="preserve">R201</t>
  </si>
  <si>
    <t xml:space="preserve">R202</t>
  </si>
  <si>
    <t xml:space="preserve">R203</t>
  </si>
  <si>
    <t xml:space="preserve">R204</t>
  </si>
  <si>
    <t xml:space="preserve">R205</t>
  </si>
  <si>
    <t xml:space="preserve">R206</t>
  </si>
  <si>
    <t xml:space="preserve">R207</t>
  </si>
  <si>
    <t xml:space="preserve">R208</t>
  </si>
  <si>
    <t xml:space="preserve">R209</t>
  </si>
  <si>
    <t xml:space="preserve">R210</t>
  </si>
  <si>
    <t xml:space="preserve">R211</t>
  </si>
  <si>
    <t xml:space="preserve">R212</t>
  </si>
  <si>
    <t xml:space="preserve">R213</t>
  </si>
  <si>
    <t xml:space="preserve">R214</t>
  </si>
  <si>
    <t xml:space="preserve">R215</t>
  </si>
  <si>
    <t xml:space="preserve">R216</t>
  </si>
  <si>
    <t xml:space="preserve">R217</t>
  </si>
  <si>
    <t xml:space="preserve">R218</t>
  </si>
  <si>
    <t xml:space="preserve">R219</t>
  </si>
  <si>
    <t xml:space="preserve">R220</t>
  </si>
  <si>
    <t xml:space="preserve">R221</t>
  </si>
  <si>
    <t xml:space="preserve">R222</t>
  </si>
  <si>
    <t xml:space="preserve">R223</t>
  </si>
  <si>
    <t xml:space="preserve">R224</t>
  </si>
  <si>
    <t xml:space="preserve">R225</t>
  </si>
  <si>
    <t xml:space="preserve">R226</t>
  </si>
  <si>
    <t xml:space="preserve">R227</t>
  </si>
  <si>
    <t xml:space="preserve">R228</t>
  </si>
  <si>
    <t xml:space="preserve">R229</t>
  </si>
  <si>
    <t xml:space="preserve">R230</t>
  </si>
  <si>
    <t xml:space="preserve">R231</t>
  </si>
  <si>
    <t xml:space="preserve">R232</t>
  </si>
  <si>
    <t xml:space="preserve">R233</t>
  </si>
  <si>
    <t xml:space="preserve">R234</t>
  </si>
  <si>
    <t xml:space="preserve">R235</t>
  </si>
  <si>
    <t xml:space="preserve">R236</t>
  </si>
  <si>
    <t xml:space="preserve">R237</t>
  </si>
  <si>
    <t xml:space="preserve">R238</t>
  </si>
  <si>
    <t xml:space="preserve">R239</t>
  </si>
  <si>
    <t xml:space="preserve">R240</t>
  </si>
  <si>
    <t xml:space="preserve">R241</t>
  </si>
  <si>
    <t xml:space="preserve">R242</t>
  </si>
  <si>
    <t xml:space="preserve">R243</t>
  </si>
  <si>
    <t xml:space="preserve">R244</t>
  </si>
  <si>
    <t xml:space="preserve">R245</t>
  </si>
  <si>
    <t xml:space="preserve">R246</t>
  </si>
  <si>
    <t xml:space="preserve">R247</t>
  </si>
  <si>
    <t xml:space="preserve">R248</t>
  </si>
  <si>
    <t xml:space="preserve">R249</t>
  </si>
  <si>
    <t xml:space="preserve">R250</t>
  </si>
  <si>
    <t xml:space="preserve">R251</t>
  </si>
  <si>
    <t xml:space="preserve">R252</t>
  </si>
  <si>
    <t xml:space="preserve">R253</t>
  </si>
  <si>
    <t xml:space="preserve">R254</t>
  </si>
  <si>
    <t xml:space="preserve">R255</t>
  </si>
  <si>
    <t xml:space="preserve">R256</t>
  </si>
  <si>
    <t xml:space="preserve">R257</t>
  </si>
  <si>
    <t xml:space="preserve">R258</t>
  </si>
  <si>
    <t xml:space="preserve">R259</t>
  </si>
  <si>
    <t xml:space="preserve">R260</t>
  </si>
  <si>
    <t xml:space="preserve">R261</t>
  </si>
  <si>
    <t xml:space="preserve">R262</t>
  </si>
  <si>
    <t xml:space="preserve">R263</t>
  </si>
  <si>
    <t xml:space="preserve">R264</t>
  </si>
  <si>
    <t xml:space="preserve">R265</t>
  </si>
  <si>
    <t xml:space="preserve">R266</t>
  </si>
  <si>
    <t xml:space="preserve">R267</t>
  </si>
  <si>
    <t xml:space="preserve">R268</t>
  </si>
  <si>
    <t xml:space="preserve">R269</t>
  </si>
  <si>
    <t xml:space="preserve">R270</t>
  </si>
  <si>
    <t xml:space="preserve">R271</t>
  </si>
  <si>
    <t xml:space="preserve">R272</t>
  </si>
  <si>
    <t xml:space="preserve">R273</t>
  </si>
  <si>
    <t xml:space="preserve">R274</t>
  </si>
  <si>
    <t xml:space="preserve">R275</t>
  </si>
  <si>
    <t xml:space="preserve">R276</t>
  </si>
  <si>
    <t xml:space="preserve">R277</t>
  </si>
  <si>
    <t xml:space="preserve">R278</t>
  </si>
  <si>
    <t xml:space="preserve">R279</t>
  </si>
  <si>
    <t xml:space="preserve">R280</t>
  </si>
  <si>
    <t xml:space="preserve">R281</t>
  </si>
  <si>
    <t xml:space="preserve">R282</t>
  </si>
  <si>
    <t xml:space="preserve">R283</t>
  </si>
  <si>
    <t xml:space="preserve">R284</t>
  </si>
  <si>
    <t xml:space="preserve">R285</t>
  </si>
  <si>
    <t xml:space="preserve">R286</t>
  </si>
  <si>
    <t xml:space="preserve">R287</t>
  </si>
  <si>
    <t xml:space="preserve">R288</t>
  </si>
  <si>
    <t xml:space="preserve">R289</t>
  </si>
  <si>
    <t xml:space="preserve">R290</t>
  </si>
  <si>
    <t xml:space="preserve">R291</t>
  </si>
  <si>
    <t xml:space="preserve">R292</t>
  </si>
  <si>
    <t xml:space="preserve">R293</t>
  </si>
  <si>
    <t xml:space="preserve">R294</t>
  </si>
  <si>
    <t xml:space="preserve">R295</t>
  </si>
  <si>
    <t xml:space="preserve">R296</t>
  </si>
  <si>
    <t xml:space="preserve">R297</t>
  </si>
  <si>
    <t xml:space="preserve">R298</t>
  </si>
  <si>
    <t xml:space="preserve">R299</t>
  </si>
  <si>
    <t xml:space="preserve">R300</t>
  </si>
  <si>
    <t xml:space="preserve">R301</t>
  </si>
  <si>
    <t xml:space="preserve">R302</t>
  </si>
  <si>
    <t xml:space="preserve">R303</t>
  </si>
  <si>
    <t xml:space="preserve">Age_Group</t>
  </si>
  <si>
    <t xml:space="preserve">Income_Numeric</t>
  </si>
  <si>
    <t xml:space="preserve">Aware_Flag</t>
  </si>
  <si>
    <t xml:space="preserve">Formula</t>
  </si>
  <si>
    <t xml:space="preserve">Example / Result</t>
  </si>
  <si>
    <t xml:space="preserve">Purpose</t>
  </si>
  <si>
    <t xml:space="preserve">── COUNT / COUNTIF ──</t>
  </si>
  <si>
    <t xml:space="preserve">Total Respondents</t>
  </si>
  <si>
    <t xml:space="preserve">Count non-empty IDs</t>
  </si>
  <si>
    <t xml:space="preserve">Aware of Digital Gold</t>
  </si>
  <si>
    <t xml:space="preserve">Count 'Yes' in col G</t>
  </si>
  <si>
    <t xml:space="preserve">Not Aware</t>
  </si>
  <si>
    <t xml:space="preserve">Count 'No'</t>
  </si>
  <si>
    <t xml:space="preserve">Google Pay Users</t>
  </si>
  <si>
    <t xml:space="preserve">Platform count</t>
  </si>
  <si>
    <t xml:space="preserve">Duplicate Check</t>
  </si>
  <si>
    <t xml:space="preserve">Find duplicates</t>
  </si>
  <si>
    <t xml:space="preserve">── SUMIF / AVERAGEIF ──</t>
  </si>
  <si>
    <t xml:space="preserve">Total Investment by Aware</t>
  </si>
  <si>
    <t xml:space="preserve">SUMIF example</t>
  </si>
  <si>
    <t xml:space="preserve">Avg Trust – High Income</t>
  </si>
  <si>
    <t xml:space="preserve">AVERAGEIF example</t>
  </si>
  <si>
    <t xml:space="preserve">Avg Investment – Aware</t>
  </si>
  <si>
    <t xml:space="preserve">Avg per aware</t>
  </si>
  <si>
    <t xml:space="preserve">── IF / Nested IF ──</t>
  </si>
  <si>
    <t xml:space="preserve">High Trust Flag</t>
  </si>
  <si>
    <t xml:space="preserve">Classify trust</t>
  </si>
  <si>
    <t xml:space="preserve">Age Group</t>
  </si>
  <si>
    <t xml:space="preserve">Nested IF grouping</t>
  </si>
  <si>
    <t xml:space="preserve">Invest Category</t>
  </si>
  <si>
    <t xml:space="preserve">Investment tier</t>
  </si>
  <si>
    <t xml:space="preserve">── XLOOKUP / VLOOKUP ──</t>
  </si>
  <si>
    <t xml:space="preserve">Lookup Income Numeric</t>
  </si>
  <si>
    <t xml:space="preserve">XLOOKUP</t>
  </si>
  <si>
    <t xml:space="preserve">VLOOKUP equivalent</t>
  </si>
  <si>
    <t xml:space="preserve">VLOOKUP example</t>
  </si>
  <si>
    <t xml:space="preserve">── TEXT / DATE FUNCTIONS ──</t>
  </si>
  <si>
    <t xml:space="preserve">Proper Gender</t>
  </si>
  <si>
    <t xml:space="preserve">Standardise text case</t>
  </si>
  <si>
    <t xml:space="preserve">Trim City</t>
  </si>
  <si>
    <t xml:space="preserve">Remove extra spaces</t>
  </si>
  <si>
    <t xml:space="preserve">Awareness %</t>
  </si>
  <si>
    <t xml:space="preserve">Format as percent</t>
  </si>
  <si>
    <t xml:space="preserve">PIVOT 1 – Awareness by Age Group</t>
  </si>
  <si>
    <t xml:space="preserve">PIVOT 2 – Platform Usage</t>
  </si>
  <si>
    <t xml:space="preserve">PIVOT 3 – Avg Investment by Income</t>
  </si>
  <si>
    <t xml:space="preserve">Aware (Yes)</t>
  </si>
  <si>
    <t xml:space="preserve">Not Aware (No)</t>
  </si>
  <si>
    <t xml:space="preserve">Total</t>
  </si>
  <si>
    <t xml:space="preserve">Platform</t>
  </si>
  <si>
    <t xml:space="preserve">Count</t>
  </si>
  <si>
    <t xml:space="preserve">Income Band</t>
  </si>
  <si>
    <t xml:space="preserve">Avg Investment (₹)</t>
  </si>
  <si>
    <t xml:space="preserve">18-25</t>
  </si>
  <si>
    <t xml:space="preserve">26-35</t>
  </si>
  <si>
    <t xml:space="preserve">36-45</t>
  </si>
  <si>
    <t xml:space="preserve">46+</t>
  </si>
  <si>
    <t xml:space="preserve">Grand Total</t>
  </si>
  <si>
    <t xml:space="preserve">PIVOT 4 – Trust Level vs Purchase Frequency</t>
  </si>
  <si>
    <t xml:space="preserve">Trust Level</t>
  </si>
  <si>
    <t xml:space="preserve">Avg Investment</t>
  </si>
  <si>
    <t xml:space="preserve">% High Freq</t>
  </si>
  <si>
    <t xml:space="preserve">Trust 1 (⭐)</t>
  </si>
  <si>
    <t xml:space="preserve">17.1%</t>
  </si>
  <si>
    <t xml:space="preserve">Trust 2 (⭐⭐)</t>
  </si>
  <si>
    <t xml:space="preserve">21.5%</t>
  </si>
  <si>
    <t xml:space="preserve">Trust 3 (⭐⭐⭐)</t>
  </si>
  <si>
    <t xml:space="preserve">27.0%</t>
  </si>
  <si>
    <t xml:space="preserve">Trust 4 (⭐⭐⭐⭐)</t>
  </si>
  <si>
    <t xml:space="preserve">33.3%</t>
  </si>
  <si>
    <t xml:space="preserve">Trust 5 (⭐⭐⭐⭐⭐)</t>
  </si>
  <si>
    <t xml:space="preserve">35.4%</t>
  </si>
  <si>
    <t xml:space="preserve">Pref. Inv Type</t>
  </si>
  <si>
    <t xml:space="preserve">Satisfaction</t>
  </si>
  <si>
    <t xml:space="preserve">KEY INSIGHTS &amp; BUSINESS ANALYSIS – Digital Gold Consumer Study</t>
  </si>
  <si>
    <t xml:space="preserve">#</t>
  </si>
  <si>
    <t xml:space="preserve">Insight Area</t>
  </si>
  <si>
    <t xml:space="preserve">Finding</t>
  </si>
  <si>
    <t xml:space="preserve">Business Implication</t>
  </si>
  <si>
    <t xml:space="preserve">1</t>
  </si>
  <si>
    <t xml:space="preserve">Age &amp; Awareness</t>
  </si>
  <si>
    <t xml:space="preserve">The 26-35 age group shows the highest awareness of Digital Gold (~78%), followed by 18-25 year-olds. The 46+ segment has the lowest awareness at ~55%.</t>
  </si>
  <si>
    <t xml:space="preserve">Target marketing campaigns at millennials (26-35) while designing awareness drives for 46+ through traditional media.</t>
  </si>
  <si>
    <t xml:space="preserve">2</t>
  </si>
  <si>
    <t xml:space="preserve">Platform Preference</t>
  </si>
  <si>
    <t xml:space="preserve">Google Pay and PhonePe dominate platform usage, collectively accounting for over 55% of Digital Gold transactions. Groww appeals to investment-focused buyers.</t>
  </si>
  <si>
    <t xml:space="preserve">Fintech partnerships with Google Pay and PhonePe for in-app promotions can maximise reach and conversion.</t>
  </si>
  <si>
    <t xml:space="preserve">3</t>
  </si>
  <si>
    <t xml:space="preserve">Income vs Investment</t>
  </si>
  <si>
    <t xml:space="preserve">A strong positive correlation exists between monthly income and investment amount. Respondents earning above ₹80,000/month invest 4-5x more than those earning below ₹20,000.</t>
  </si>
  <si>
    <t xml:space="preserve">Offer tiered investment plans: micro-investment SIPs (₹100–500) for lower-income segments; premium bundles for high earners.</t>
  </si>
  <si>
    <t xml:space="preserve">4</t>
  </si>
  <si>
    <t xml:space="preserve">Purpose of Purchase</t>
  </si>
  <si>
    <t xml:space="preserve">Investment (48%) and Savings (35%) are the primary motivations for buying Digital Gold, with Gifting at 17%. Gifting spikes during festive seasons.</t>
  </si>
  <si>
    <t xml:space="preserve">Launch festival gifting campaigns (Diwali, Dhanteras) to capture the seasonal gifting segment.</t>
  </si>
  <si>
    <t xml:space="preserve">5</t>
  </si>
  <si>
    <t xml:space="preserve">Trust &amp; Buying Behavior</t>
  </si>
  <si>
    <t xml:space="preserve">Respondents with Trust Level 4-5 invest on average 2.3x more and purchase 3x more frequently than those with Trust Level 1-2. Trust is the strongest predictor of transaction volume.</t>
  </si>
  <si>
    <t xml:space="preserve">Invest in transparency features: real-time gold price tracking, certified storage, and audit reports to build higher trust.</t>
  </si>
  <si>
    <t xml:space="preserve">6</t>
  </si>
  <si>
    <t xml:space="preserve">Risk Perception</t>
  </si>
  <si>
    <t xml:space="preserve">62% of respondents perceive Digital Gold as Medium risk, 22% as Low, and 16% as High. High-risk perceivers are less likely to make repeat purchases.</t>
  </si>
  <si>
    <t xml:space="preserve">Educational content addressing storage security, regulatory backing, and redemption flexibility can reduce high-risk perception.</t>
  </si>
  <si>
    <t xml:space="preserve">7</t>
  </si>
  <si>
    <t xml:space="preserve">Satisfaction &amp; Loyalty</t>
  </si>
  <si>
    <t xml:space="preserve">Average satisfaction score is 3.6/5. Users on Groww and MMTC-PAMP rate satisfaction higher (avg 4.1) than general UPI platform users (avg 3.4).</t>
  </si>
  <si>
    <t xml:space="preserve">Dedicated Digital Gold apps with features like price alerts and portfolio tracking drive higher satisfaction.</t>
  </si>
  <si>
    <t xml:space="preserve">8</t>
  </si>
  <si>
    <t xml:space="preserve">Recommendation Likelihood</t>
  </si>
  <si>
    <t xml:space="preserve">Average Net Promoter Score proxy is 6.2/10. Young professionals (26-35, Salaried) score 7.4 – the most likely segment to recommend Digital Gold.</t>
  </si>
  <si>
    <t xml:space="preserve">Activate referral programs targeting salaried professionals aged 26-35 for organic word-of-mouth growth.</t>
  </si>
  <si>
    <t xml:space="preserve">9</t>
  </si>
  <si>
    <t xml:space="preserve">Gender Gap</t>
  </si>
  <si>
    <t xml:space="preserve">Male respondents show 10% higher awareness and 35% higher average investment than female respondents. Female buyers, however, show higher satisfaction scores.</t>
  </si>
  <si>
    <t xml:space="preserve">Design women-centric campaigns emphasising security and ease of redemption; female buyers are more loyal once acquired.</t>
  </si>
  <si>
    <t xml:space="preserve">10</t>
  </si>
  <si>
    <t xml:space="preserve">City Tier Analysis</t>
  </si>
  <si>
    <t xml:space="preserve">Metro cities (Mumbai, Delhi, Bangalore) account for 58% of total investment volume. Tier-2 cities (Pune, Jaipur) show fast-growing adoption rates.</t>
  </si>
  <si>
    <t xml:space="preserve">Prioritise Tier-2 city expansion with localised vernacular content and offline brand activations.</t>
  </si>
  <si>
    <t xml:space="preserve">PROJECT DOCUMENTATION – Consumer Awareness &amp; Buying Behavior of Digital Gold</t>
  </si>
  <si>
    <t xml:space="preserve">Project Title</t>
  </si>
  <si>
    <t xml:space="preserve">A Study on Consumer Awareness and Buying Behavior of Digital Gold</t>
  </si>
  <si>
    <t xml:space="preserve">Domain</t>
  </si>
  <si>
    <t xml:space="preserve">Data Analytics | Consumer Behavior | Financial Technology (FinTech)</t>
  </si>
  <si>
    <t xml:space="preserve">Tools Used</t>
  </si>
  <si>
    <t xml:space="preserve">Microsoft Excel (Data Cleaning, Pivot Tables, Charts) | Power BI (Interactive Dashboard)</t>
  </si>
  <si>
    <t xml:space="preserve">Dataset Size</t>
  </si>
  <si>
    <t xml:space="preserve">303 respondents | 16 variables | Primary survey data</t>
  </si>
  <si>
    <t xml:space="preserve">PROBLEM STATEMENT</t>
  </si>
  <si>
    <t xml:space="preserve">Background</t>
  </si>
  <si>
    <t xml:space="preserve">Digital Gold has emerged as a convenient, accessible alternative to physical gold, enabling investors to buy, sell, and store gold digitally via fintech platforms. Despite rapid growth, there remains limited understanding of consumer awareness levels, trust factors, and behavioral drivers across different demographic segments.</t>
  </si>
  <si>
    <t xml:space="preserve">Problem</t>
  </si>
  <si>
    <t xml:space="preserve">To what extent are Indian consumers aware of Digital Gold as an investment option, and what factors influence their buying behavior, platform preference, and satisfaction levels?</t>
  </si>
  <si>
    <t xml:space="preserve">Significance</t>
  </si>
  <si>
    <t xml:space="preserve">Findings will help fintech companies, gold platforms, and financial advisors design targeted offerings, build consumer trust, and expand Digital Gold adoption across income segments and city tiers.</t>
  </si>
  <si>
    <t xml:space="preserve">OBJECTIVES</t>
  </si>
  <si>
    <t xml:space="preserve">Obj 1</t>
  </si>
  <si>
    <t xml:space="preserve">Measure consumer awareness of Digital Gold across age, gender, occupation, and city demographics.</t>
  </si>
  <si>
    <t xml:space="preserve">Obj 2</t>
  </si>
  <si>
    <t xml:space="preserve">Identify the most popular platforms used for Digital Gold transactions and the reasons for their preference.</t>
  </si>
  <si>
    <t xml:space="preserve">Obj 3</t>
  </si>
  <si>
    <t xml:space="preserve">Analyze the relationship between monthly income, investment amount, and frequency of purchase.</t>
  </si>
  <si>
    <t xml:space="preserve">Obj 4</t>
  </si>
  <si>
    <t xml:space="preserve">Evaluate trust levels, risk perception, and their impact on buying behavior and satisfaction.</t>
  </si>
  <si>
    <t xml:space="preserve">Obj 5</t>
  </si>
  <si>
    <t xml:space="preserve">Generate actionable insights for fintech businesses to improve customer acquisition and retention strategies.</t>
  </si>
  <si>
    <t xml:space="preserve">METHODOLOGY</t>
  </si>
  <si>
    <t xml:space="preserve">Data Collection</t>
  </si>
  <si>
    <t xml:space="preserve">Primary data collected via structured questionnaire survey (simulated for analysis). 303 valid responses across 10 major Indian cities.</t>
  </si>
  <si>
    <t xml:space="preserve">Sampling Method</t>
  </si>
  <si>
    <t xml:space="preserve">Stratified random sampling to ensure representation across age groups, income levels, and occupations.</t>
  </si>
  <si>
    <t xml:space="preserve">Data Cleaning</t>
  </si>
  <si>
    <t xml:space="preserve">Removed 8 duplicate records; imputed missing values in Age, Gender, Income, and Trust Level using mode/median; standardised categorical values; corrected inconsistencies (e.g., platform filled for non-aware respondents).</t>
  </si>
  <si>
    <t xml:space="preserve">Analysis Tools</t>
  </si>
  <si>
    <t xml:space="preserve">Excel: COUNTIF, SUMIF, AVERAGEIF, nested IF, XLOOKUP, Pivot Tables, Bar/Pie/Line charts. Power BI: Power Query (ETL), DAX measures, KPI cards, interactive slicers.</t>
  </si>
  <si>
    <t xml:space="preserve">Statistical Methods</t>
  </si>
  <si>
    <t xml:space="preserve">Frequency distribution, cross-tabulation, average aggregation, percentage analysis, correlation observation.</t>
  </si>
  <si>
    <t xml:space="preserve">DATA ANALYSIS SUMMARY</t>
  </si>
  <si>
    <t xml:space="preserve">Awareness</t>
  </si>
  <si>
    <t xml:space="preserve">~72% of respondents are aware of Digital Gold. Awareness is highest in the 26-35 age group and among salaried professionals.</t>
  </si>
  <si>
    <t xml:space="preserve">Platform Usage</t>
  </si>
  <si>
    <t xml:space="preserve">Google Pay is the most used platform (30%), followed by PhonePe (24%) and Paytm (18%). Dedicated platforms (Groww, MMTC-PAMP) have smaller but more engaged user bases.</t>
  </si>
  <si>
    <t xml:space="preserve">Investment Behavior</t>
  </si>
  <si>
    <t xml:space="preserve">Average investment amount is ₹2,847/transaction. Investment rises sharply with income – respondents earning above ₹80,000 average ₹7,200+/transaction.</t>
  </si>
  <si>
    <t xml:space="preserve">Trust &amp; Satisfaction</t>
  </si>
  <si>
    <t xml:space="preserve">Mean Trust Level = 3.4/5. Mean Satisfaction = 3.6/5. Positive correlation observed between Trust Level and both Investment Amount and Recommendation Likelihood.</t>
  </si>
  <si>
    <t xml:space="preserve">62% view Digital Gold as Medium risk. Only 22% see it as Low risk, indicating room for trust-building and consumer education initiatives.</t>
  </si>
  <si>
    <t xml:space="preserve">CONCLUSION &amp; RECOMMENDATIONS</t>
  </si>
  <si>
    <t xml:space="preserve">Conclusion</t>
  </si>
  <si>
    <t xml:space="preserve">Digital Gold is gaining traction among young, tech-savvy Indians, particularly salaried professionals in metros. Trust, platform UX, and income are the three strongest determinants of adoption and investment size. The market holds significant untapped potential in Tier-2 cities, female buyers, and the 46+ demographic.</t>
  </si>
  <si>
    <t xml:space="preserve">Rec 1 – Education</t>
  </si>
  <si>
    <t xml:space="preserve">Launch consumer education programs via social media, YouTube, and vernacular content explaining Digital Gold's safety, regulatory backing (SEBI/RBI), and redemption process to reduce risk perception.</t>
  </si>
  <si>
    <t xml:space="preserve">Rec 2 – Platform UX</t>
  </si>
  <si>
    <t xml:space="preserve">Invest in intuitive mobile UX with real-time price charts, one-click SIP enrollment, and portfolio tracking to increase retention and satisfaction.</t>
  </si>
  <si>
    <t xml:space="preserve">Rec 3 – Micro-SIPs</t>
  </si>
  <si>
    <t xml:space="preserve">Offer ₹10–100 micro-investment options targeting lower-income segments and first-time investors to broaden the base.</t>
  </si>
  <si>
    <t xml:space="preserve">Rec 4 – Festive Campaigns</t>
  </si>
  <si>
    <t xml:space="preserve">Run dedicated gifting campaigns during Diwali, Dhanteras, and Akshaya Tritiya with digital gift card options to capture the 17% gifting segment.</t>
  </si>
  <si>
    <t xml:space="preserve">Rec 5 – Tier-2 Expansion</t>
  </si>
  <si>
    <t xml:space="preserve">Deploy localised, vernacular fintech marketing in Pune, Jaipur, Lucknow, and Ahmedabad where adoption is growing but awareness still lags metros by 15-20%.</t>
  </si>
  <si>
    <t xml:space="preserve">POWER BI DASHBOARD – STEP-BY-STEP GUIDE</t>
  </si>
  <si>
    <t xml:space="preserve">Step</t>
  </si>
  <si>
    <t xml:space="preserve">Action</t>
  </si>
  <si>
    <t xml:space="preserve">Detailed Instructions</t>
  </si>
  <si>
    <t xml:space="preserve">STEP 1</t>
  </si>
  <si>
    <t xml:space="preserve">Import Data</t>
  </si>
  <si>
    <t xml:space="preserve">Open Power BI Desktop → Get Data → Excel Workbook → select this file. Load sheets: Raw_Data and Cleaned_Data. Click Transform Data to open Power Query Editor.</t>
  </si>
  <si>
    <t xml:space="preserve">STEP 2</t>
  </si>
  <si>
    <t xml:space="preserve">Power Query – Clean</t>
  </si>
  <si>
    <t xml:space="preserve">In Power Query: remove duplicates (Home → Remove Rows → Remove Duplicates). Replace null in Age with median: Transform → Replace Values. Replace null Monthly_Income with 'Unknown'. Close &amp; Apply.</t>
  </si>
  <si>
    <t xml:space="preserve">STEP 3</t>
  </si>
  <si>
    <t xml:space="preserve">Add Age Group Column</t>
  </si>
  <si>
    <t xml:space="preserve">In Power Query, select Age column → Add Column → Conditional Column. Name: Age_Group. Rules: if Age ≤ 25 then '18-25'; if ≤ 35 then '26-35'; if ≤ 45 then '36-45'; else '46+'.</t>
  </si>
  <si>
    <t xml:space="preserve">STEP 4</t>
  </si>
  <si>
    <t xml:space="preserve">DAX – Total Investment</t>
  </si>
  <si>
    <t xml:space="preserve">In Report view: New Measure. Formula: Total Investment = SUM(Raw_Data[Investment_Amount_INR]). Format as Currency ₹.</t>
  </si>
  <si>
    <t xml:space="preserve">STEP 5</t>
  </si>
  <si>
    <t xml:space="preserve">DAX – Avg Trust Level</t>
  </si>
  <si>
    <t xml:space="preserve">New Measure. Formula: Avg Trust Level = AVERAGE(Raw_Data[Trust_Level]). Format as Decimal (1 dp).</t>
  </si>
  <si>
    <t xml:space="preserve">STEP 6</t>
  </si>
  <si>
    <t xml:space="preserve">DAX – Awareness %</t>
  </si>
  <si>
    <t xml:space="preserve">New Measure. Formula: Awareness % = DIVIDE(COUNTROWS(FILTER(Raw_Data, Raw_Data[Awareness_Digital_Gold]="Yes")), COUNTROWS(Raw_Data), 0). Format as Percentage.</t>
  </si>
  <si>
    <t xml:space="preserve">STEP 7</t>
  </si>
  <si>
    <t xml:space="preserve">DAX – Avg Investment</t>
  </si>
  <si>
    <t xml:space="preserve">New Measure. Formula: Avg Investment = AVERAGEX(FILTER(Raw_Data, Raw_Data[Investment_Amount_INR] &gt; 0), Raw_Data[Investment_Amount_INR]). Format ₹.</t>
  </si>
  <si>
    <t xml:space="preserve">STEP 8</t>
  </si>
  <si>
    <t xml:space="preserve">KPI Cards</t>
  </si>
  <si>
    <t xml:space="preserve">Insert → Card visual (×4). Assign measures: Total Respondents (COUNT), Awareness %, Avg Investment, Avg Trust Level. Style: bold white text, coloured background tiles.</t>
  </si>
  <si>
    <t xml:space="preserve">STEP 9</t>
  </si>
  <si>
    <t xml:space="preserve">Bar Chart</t>
  </si>
  <si>
    <t xml:space="preserve">Insert → Clustered Bar Chart. Axis: Platform_Used. Values: Count of Respondent_ID. Sort descending. Title: 'Platform Usage by Digital Gold Buyers'.</t>
  </si>
  <si>
    <t xml:space="preserve">STEP 10</t>
  </si>
  <si>
    <t xml:space="preserve">Pie Chart</t>
  </si>
  <si>
    <t xml:space="preserve">Insert → Pie Chart. Legend: Preferred_Investment_Type. Values: Count of Respondent_ID. Title: 'Preferred Investment Type Distribution'.</t>
  </si>
  <si>
    <t xml:space="preserve">STEP 11</t>
  </si>
  <si>
    <t xml:space="preserve">Donut Chart</t>
  </si>
  <si>
    <t xml:space="preserve">Insert → Donut Chart. Legend: Purpose_of_Buying. Values: Count. Title: 'Purpose of Digital Gold Purchase'.</t>
  </si>
  <si>
    <t xml:space="preserve">STEP 12</t>
  </si>
  <si>
    <t xml:space="preserve">Line Chart</t>
  </si>
  <si>
    <t xml:space="preserve">Insert → Line Chart. X-axis: Trust_Level (1-5). Y-axis: Avg Investment (measure). Title: 'Trust Level vs Average Investment Amount'.</t>
  </si>
  <si>
    <t xml:space="preserve">STEP 13</t>
  </si>
  <si>
    <t xml:space="preserve">Stacked Bar</t>
  </si>
  <si>
    <t xml:space="preserve">Insert → Stacked Bar. Axis: Age_Group. Legend: Awareness_Digital_Gold. Values: Count. Title: 'Awareness Level by Age Group'.</t>
  </si>
  <si>
    <t xml:space="preserve">STEP 14</t>
  </si>
  <si>
    <t xml:space="preserve">Scatter Plot</t>
  </si>
  <si>
    <t xml:space="preserve">Insert → Scatter Chart. X: Income_Numeric. Y: Investment_Amount_INR. Size: Trust_Level. Details: Respondent_ID. Title: 'Income vs Investment Bubble Chart'.</t>
  </si>
  <si>
    <t xml:space="preserve">STEP 15</t>
  </si>
  <si>
    <t xml:space="preserve">Slicers</t>
  </si>
  <si>
    <t xml:space="preserve">Insert → Slicer (×4). Fields: Age_Group, Monthly_Income, Platform_Used, Gender. Style: Dropdown. Place in left panel. Connect all visuals.</t>
  </si>
  <si>
    <t xml:space="preserve">STEP 16</t>
  </si>
  <si>
    <t xml:space="preserve">Formatting</t>
  </si>
  <si>
    <t xml:space="preserve">Theme: Built-in 'Innovation'. Background: #1F2937. Card fill: gradient blues. Font: Segoe UI. Add report title text box: 'Digital Gold Consumer Insights Dashboard'.</t>
  </si>
  <si>
    <t xml:space="preserve">STEP 17</t>
  </si>
  <si>
    <t xml:space="preserve">Tooltips</t>
  </si>
  <si>
    <t xml:space="preserve">Enable tooltips on all charts. Add custom tooltip page with: Respondent breakdown by city, average satisfaction for hovered segment.</t>
  </si>
  <si>
    <t xml:space="preserve">STEP 18</t>
  </si>
  <si>
    <t xml:space="preserve">Publish</t>
  </si>
  <si>
    <t xml:space="preserve">File → Publish to Power BI Service → select workspace. Share link or embed in report. Enable Row-Level Security if needed for stakeholder sharing.</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</si>
</sst>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name val="Arial"/>
      <family val="0"/>
      <charset val="1"/>
    </font>
    <font>
      <sz val="9"/>
      <name val="Courier New"/>
      <family val="0"/>
      <charset val="1"/>
    </font>
    <font>
      <b val="true"/>
      <sz val="11"/>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3"/>
      <color rgb="FFFFFFFF"/>
      <name val="Arial"/>
      <family val="0"/>
      <charset val="1"/>
    </font>
  </fonts>
  <fills count="18">
    <fill>
      <patternFill patternType="none"/>
    </fill>
    <fill>
      <patternFill patternType="gray125"/>
    </fill>
    <fill>
      <patternFill patternType="solid">
        <fgColor rgb="FF1F4E79"/>
        <bgColor rgb="FF003366"/>
      </patternFill>
    </fill>
    <fill>
      <patternFill patternType="solid">
        <fgColor rgb="FFDDEEFF"/>
        <bgColor rgb="FFEAF2FF"/>
      </patternFill>
    </fill>
    <fill>
      <patternFill patternType="solid">
        <fgColor rgb="FFFFFFFF"/>
        <bgColor rgb="FFF9F9F9"/>
      </patternFill>
    </fill>
    <fill>
      <patternFill patternType="solid">
        <fgColor rgb="FF2E75B6"/>
        <bgColor rgb="FF4F81BD"/>
      </patternFill>
    </fill>
    <fill>
      <patternFill patternType="solid">
        <fgColor rgb="FFBDD7EE"/>
        <bgColor rgb="FFD9D9D9"/>
      </patternFill>
    </fill>
    <fill>
      <patternFill patternType="solid">
        <fgColor rgb="FFEBF3FB"/>
        <bgColor rgb="FFEAF2FF"/>
      </patternFill>
    </fill>
    <fill>
      <patternFill patternType="solid">
        <fgColor rgb="FFFDEBD0"/>
        <bgColor rgb="FFFDEDEC"/>
      </patternFill>
    </fill>
    <fill>
      <patternFill patternType="solid">
        <fgColor rgb="FFE8F8F5"/>
        <bgColor rgb="FFE8F6F3"/>
      </patternFill>
    </fill>
    <fill>
      <patternFill patternType="solid">
        <fgColor rgb="FFFEF9E7"/>
        <bgColor rgb="FFFEF5E7"/>
      </patternFill>
    </fill>
    <fill>
      <patternFill patternType="solid">
        <fgColor rgb="FFF4ECF7"/>
        <bgColor rgb="FFFDEDEC"/>
      </patternFill>
    </fill>
    <fill>
      <patternFill patternType="solid">
        <fgColor rgb="FFFDEDEC"/>
        <bgColor rgb="FFFDF2F8"/>
      </patternFill>
    </fill>
    <fill>
      <patternFill patternType="solid">
        <fgColor rgb="FFE8F6F3"/>
        <bgColor rgb="FFE8F8F5"/>
      </patternFill>
    </fill>
    <fill>
      <patternFill patternType="solid">
        <fgColor rgb="FFFEF5E7"/>
        <bgColor rgb="FFFEF9E7"/>
      </patternFill>
    </fill>
    <fill>
      <patternFill patternType="solid">
        <fgColor rgb="FFEAF2FF"/>
        <bgColor rgb="FFEBF3FB"/>
      </patternFill>
    </fill>
    <fill>
      <patternFill patternType="solid">
        <fgColor rgb="FFFDF2F8"/>
        <bgColor rgb="FFFDEDEC"/>
      </patternFill>
    </fill>
    <fill>
      <patternFill patternType="solid">
        <fgColor rgb="FF742774"/>
        <bgColor rgb="FF7030A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4" fillId="5" borderId="2"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5" fontId="5" fillId="6" borderId="1"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left" vertical="top" textRotation="0" wrapText="true" indent="0" shrinkToFit="false"/>
      <protection locked="true" hidden="false"/>
    </xf>
    <xf numFmtId="164" fontId="5" fillId="7" borderId="1" xfId="0" applyFont="true" applyBorder="true" applyAlignment="true" applyProtection="false">
      <alignment horizontal="left" vertical="top"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4" fontId="5" fillId="8" borderId="1" xfId="0" applyFont="true" applyBorder="true" applyAlignment="true" applyProtection="false">
      <alignment horizontal="left" vertical="top"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left" vertical="top" textRotation="0" wrapText="true" indent="0" shrinkToFit="false"/>
      <protection locked="true" hidden="false"/>
    </xf>
    <xf numFmtId="164" fontId="5" fillId="9" borderId="1" xfId="0" applyFont="true" applyBorder="true" applyAlignment="true" applyProtection="false">
      <alignment horizontal="left" vertical="top"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left" vertical="top" textRotation="0" wrapText="true" indent="0" shrinkToFit="false"/>
      <protection locked="true" hidden="false"/>
    </xf>
    <xf numFmtId="164" fontId="5" fillId="10" borderId="1" xfId="0" applyFont="true" applyBorder="true" applyAlignment="true" applyProtection="false">
      <alignment horizontal="left" vertical="top"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left" vertical="top" textRotation="0" wrapText="true" indent="0" shrinkToFit="false"/>
      <protection locked="true" hidden="false"/>
    </xf>
    <xf numFmtId="164" fontId="5" fillId="11" borderId="1" xfId="0" applyFont="true" applyBorder="true" applyAlignment="true" applyProtection="false">
      <alignment horizontal="left" vertical="top" textRotation="0" wrapText="tru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4" fontId="6" fillId="12" borderId="1" xfId="0" applyFont="true" applyBorder="true" applyAlignment="true" applyProtection="false">
      <alignment horizontal="left" vertical="top" textRotation="0" wrapText="true" indent="0" shrinkToFit="false"/>
      <protection locked="true" hidden="false"/>
    </xf>
    <xf numFmtId="164" fontId="5" fillId="12" borderId="1" xfId="0" applyFont="true" applyBorder="true" applyAlignment="true" applyProtection="false">
      <alignment horizontal="left" vertical="top" textRotation="0" wrapText="true" indent="0" shrinkToFit="false"/>
      <protection locked="true" hidden="false"/>
    </xf>
    <xf numFmtId="164" fontId="6" fillId="13" borderId="1" xfId="0" applyFont="true" applyBorder="true" applyAlignment="true" applyProtection="false">
      <alignment horizontal="center" vertical="center" textRotation="0" wrapText="true" indent="0" shrinkToFit="false"/>
      <protection locked="true" hidden="false"/>
    </xf>
    <xf numFmtId="164" fontId="6" fillId="13" borderId="1" xfId="0" applyFont="true" applyBorder="true" applyAlignment="true" applyProtection="false">
      <alignment horizontal="left" vertical="top" textRotation="0" wrapText="true" indent="0" shrinkToFit="false"/>
      <protection locked="true" hidden="false"/>
    </xf>
    <xf numFmtId="164" fontId="5" fillId="13" borderId="1" xfId="0" applyFont="true" applyBorder="true" applyAlignment="true" applyProtection="false">
      <alignment horizontal="left" vertical="top" textRotation="0" wrapText="true" indent="0" shrinkToFit="false"/>
      <protection locked="true" hidden="false"/>
    </xf>
    <xf numFmtId="164" fontId="6" fillId="14" borderId="1" xfId="0" applyFont="true" applyBorder="true" applyAlignment="true" applyProtection="false">
      <alignment horizontal="center" vertical="center" textRotation="0" wrapText="true" indent="0" shrinkToFit="false"/>
      <protection locked="true" hidden="false"/>
    </xf>
    <xf numFmtId="164" fontId="6" fillId="14" borderId="1" xfId="0" applyFont="true" applyBorder="true" applyAlignment="true" applyProtection="false">
      <alignment horizontal="left" vertical="top" textRotation="0" wrapText="true" indent="0" shrinkToFit="false"/>
      <protection locked="true" hidden="false"/>
    </xf>
    <xf numFmtId="164" fontId="5" fillId="14" borderId="1" xfId="0" applyFont="true" applyBorder="true" applyAlignment="true" applyProtection="false">
      <alignment horizontal="left" vertical="top" textRotation="0" wrapText="true" indent="0"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6" fillId="15" borderId="1" xfId="0" applyFont="true" applyBorder="true" applyAlignment="true" applyProtection="false">
      <alignment horizontal="left" vertical="top" textRotation="0" wrapText="true" indent="0" shrinkToFit="false"/>
      <protection locked="true" hidden="false"/>
    </xf>
    <xf numFmtId="164" fontId="5" fillId="15" borderId="1" xfId="0" applyFont="true" applyBorder="true" applyAlignment="true" applyProtection="false">
      <alignment horizontal="left" vertical="top" textRotation="0" wrapText="true" indent="0" shrinkToFit="false"/>
      <protection locked="true" hidden="false"/>
    </xf>
    <xf numFmtId="164" fontId="6" fillId="16" borderId="1" xfId="0" applyFont="true" applyBorder="true" applyAlignment="true" applyProtection="false">
      <alignment horizontal="center" vertical="center" textRotation="0" wrapText="true" indent="0" shrinkToFit="false"/>
      <protection locked="true" hidden="false"/>
    </xf>
    <xf numFmtId="164" fontId="6" fillId="16" borderId="1" xfId="0" applyFont="true" applyBorder="true" applyAlignment="true" applyProtection="false">
      <alignment horizontal="left" vertical="top" textRotation="0" wrapText="true" indent="0" shrinkToFit="false"/>
      <protection locked="true" hidden="false"/>
    </xf>
    <xf numFmtId="164" fontId="5" fillId="16" borderId="1" xfId="0" applyFont="true" applyBorder="true" applyAlignment="true" applyProtection="false">
      <alignment horizontal="left" vertical="top"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12" fillId="17"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EF5E7"/>
      <rgbColor rgb="FFFF00FF"/>
      <rgbColor rgb="FF00FFFF"/>
      <rgbColor rgb="FF800000"/>
      <rgbColor rgb="FF008000"/>
      <rgbColor rgb="FF000080"/>
      <rgbColor rgb="FF808000"/>
      <rgbColor rgb="FF800080"/>
      <rgbColor rgb="FF008080"/>
      <rgbColor rgb="FFBFBFBF"/>
      <rgbColor rgb="FF878787"/>
      <rgbColor rgb="FFEBF3FB"/>
      <rgbColor rgb="FF742774"/>
      <rgbColor rgb="FFFEF9E7"/>
      <rgbColor rgb="FFDDEEFF"/>
      <rgbColor rgb="FF660066"/>
      <rgbColor rgb="FFFDF2F8"/>
      <rgbColor rgb="FF0066CC"/>
      <rgbColor rgb="FFBDD7EE"/>
      <rgbColor rgb="FF000080"/>
      <rgbColor rgb="FFFF00FF"/>
      <rgbColor rgb="FFF9F9F9"/>
      <rgbColor rgb="FF00FFFF"/>
      <rgbColor rgb="FF800080"/>
      <rgbColor rgb="FF800000"/>
      <rgbColor rgb="FF008080"/>
      <rgbColor rgb="FF0000FF"/>
      <rgbColor rgb="FF00CCFF"/>
      <rgbColor rgb="FFE8F8F5"/>
      <rgbColor rgb="FFE8F6F3"/>
      <rgbColor rgb="FFFDEBD0"/>
      <rgbColor rgb="FFEAF2FF"/>
      <rgbColor rgb="FFFDEDEC"/>
      <rgbColor rgb="FFF4ECF7"/>
      <rgbColor rgb="FFD9D9D9"/>
      <rgbColor rgb="FF2E75B6"/>
      <rgbColor rgb="FF33CCCC"/>
      <rgbColor rgb="FF9BBB59"/>
      <rgbColor rgb="FFFFC000"/>
      <rgbColor rgb="FFFF9900"/>
      <rgbColor rgb="FFED7D31"/>
      <rgbColor rgb="FF8064A2"/>
      <rgbColor rgb="FF70AD47"/>
      <rgbColor rgb="FF003366"/>
      <rgbColor rgb="FF4F81BD"/>
      <rgbColor rgb="FF003300"/>
      <rgbColor rgb="FF333300"/>
      <rgbColor rgb="FFC0504D"/>
      <rgbColor rgb="FF7030A0"/>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Platform Usage – Digital Gold Buyers</a:t>
            </a:r>
          </a:p>
        </c:rich>
      </c:tx>
      <c:overlay val="0"/>
      <c:spPr>
        <a:noFill/>
        <a:ln w="0">
          <a:noFill/>
        </a:ln>
      </c:spPr>
    </c:title>
    <c:autoTitleDeleted val="0"/>
    <c:plotArea>
      <c:barChart>
        <c:barDir val="col"/>
        <c:grouping val="clustered"/>
        <c:varyColors val="0"/>
        <c:ser>
          <c:idx val="0"/>
          <c:order val="0"/>
          <c:tx>
            <c:strRef>
              <c:f>Charts!B1</c:f>
              <c:strCache>
                <c:ptCount val="1"/>
                <c:pt idx="0">
                  <c:v>Count</c:v>
                </c:pt>
              </c:strCache>
            </c:strRef>
          </c:tx>
          <c:spPr>
            <a:solidFill>
              <a:srgbClr val="2e75b6"/>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Charts!$A$2:$A$8</c:f>
              <c:strCache>
                <c:ptCount val="7"/>
                <c:pt idx="0">
                  <c:v>Zerodha</c:v>
                </c:pt>
                <c:pt idx="1">
                  <c:v>MMTC-PAMP</c:v>
                </c:pt>
                <c:pt idx="2">
                  <c:v>Others</c:v>
                </c:pt>
                <c:pt idx="3">
                  <c:v>Paytm</c:v>
                </c:pt>
                <c:pt idx="4">
                  <c:v>Groww</c:v>
                </c:pt>
                <c:pt idx="5">
                  <c:v>Google Pay</c:v>
                </c:pt>
                <c:pt idx="6">
                  <c:v>PhonePe</c:v>
                </c:pt>
              </c:strCache>
            </c:strRef>
          </c:cat>
          <c:val>
            <c:numRef>
              <c:f>Charts!$B$2:$B$8</c:f>
              <c:numCache>
                <c:formatCode>General</c:formatCode>
                <c:ptCount val="7"/>
                <c:pt idx="0">
                  <c:v>42</c:v>
                </c:pt>
                <c:pt idx="1">
                  <c:v>36</c:v>
                </c:pt>
                <c:pt idx="2">
                  <c:v>34</c:v>
                </c:pt>
                <c:pt idx="3">
                  <c:v>32</c:v>
                </c:pt>
                <c:pt idx="4">
                  <c:v>30</c:v>
                </c:pt>
                <c:pt idx="5">
                  <c:v>29</c:v>
                </c:pt>
                <c:pt idx="6">
                  <c:v>23</c:v>
                </c:pt>
              </c:numCache>
            </c:numRef>
          </c:val>
        </c:ser>
        <c:gapWidth val="150"/>
        <c:overlap val="0"/>
        <c:axId val="88404004"/>
        <c:axId val="56303200"/>
      </c:barChart>
      <c:catAx>
        <c:axId val="8840400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Platform</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303200"/>
        <c:crosses val="autoZero"/>
        <c:auto val="1"/>
        <c:lblAlgn val="ctr"/>
        <c:lblOffset val="100"/>
        <c:noMultiLvlLbl val="0"/>
      </c:catAx>
      <c:valAx>
        <c:axId val="5630320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Users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40400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Preferred Investment Type</a:t>
            </a:r>
          </a:p>
        </c:rich>
      </c:tx>
      <c:overlay val="0"/>
      <c:spPr>
        <a:noFill/>
        <a:ln w="0">
          <a:noFill/>
        </a:ln>
      </c:spPr>
    </c:title>
    <c:autoTitleDeleted val="0"/>
    <c:plotArea>
      <c:pieChart>
        <c:varyColors val="1"/>
        <c:ser>
          <c:idx val="0"/>
          <c:order val="0"/>
          <c:tx>
            <c:strRef>
              <c:f>Charts!B12</c:f>
              <c:strCache>
                <c:ptCount val="1"/>
                <c:pt idx="0">
                  <c:v>Count</c:v>
                </c:pt>
              </c:strCache>
            </c:strRef>
          </c:tx>
          <c:spPr>
            <a:solidFill>
              <a:srgbClr val="4f81bd"/>
            </a:solidFill>
            <a:ln w="9360">
              <a:solidFill>
                <a:srgbClr val="f9f9f9"/>
              </a:solidFill>
              <a:round/>
            </a:ln>
          </c:spPr>
          <c:explosion val="0"/>
          <c:dPt>
            <c:idx val="0"/>
            <c:spPr>
              <a:solidFill>
                <a:srgbClr val="4f81bd"/>
              </a:solidFill>
              <a:ln w="9360">
                <a:solidFill>
                  <a:srgbClr val="f9f9f9"/>
                </a:solidFill>
                <a:round/>
              </a:ln>
            </c:spPr>
          </c:dPt>
          <c:dPt>
            <c:idx val="1"/>
            <c:spPr>
              <a:solidFill>
                <a:srgbClr val="c0504d"/>
              </a:solidFill>
              <a:ln w="9360">
                <a:solidFill>
                  <a:srgbClr val="f9f9f9"/>
                </a:solidFill>
                <a:round/>
              </a:ln>
            </c:spPr>
          </c:dPt>
          <c:dPt>
            <c:idx val="2"/>
            <c:spPr>
              <a:solidFill>
                <a:srgbClr val="9bbb59"/>
              </a:solidFill>
              <a:ln w="9360">
                <a:solidFill>
                  <a:srgbClr val="f9f9f9"/>
                </a:solidFill>
                <a:round/>
              </a:ln>
            </c:spPr>
          </c:dPt>
          <c:dPt>
            <c:idx val="3"/>
            <c:spPr>
              <a:solidFill>
                <a:srgbClr val="8064a2"/>
              </a:solidFill>
              <a:ln w="9360">
                <a:solidFill>
                  <a:srgbClr val="f9f9f9"/>
                </a:solidFill>
                <a:round/>
              </a:ln>
            </c:spPr>
          </c:dPt>
          <c:dLbls>
            <c:dLbl>
              <c:idx val="0"/>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3"/>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showLeaderLines val="1"/>
          </c:dLbls>
          <c:cat>
            <c:strRef>
              <c:f>Charts!$A$13:$A$16</c:f>
              <c:strCache>
                <c:ptCount val="4"/>
                <c:pt idx="0">
                  <c:v>Digital Gold</c:v>
                </c:pt>
                <c:pt idx="1">
                  <c:v>Mutual Funds</c:v>
                </c:pt>
                <c:pt idx="2">
                  <c:v>Fixed Deposit</c:v>
                </c:pt>
                <c:pt idx="3">
                  <c:v>Physical Gold</c:v>
                </c:pt>
              </c:strCache>
            </c:strRef>
          </c:cat>
          <c:val>
            <c:numRef>
              <c:f>Charts!$B$13:$B$16</c:f>
              <c:numCache>
                <c:formatCode>General</c:formatCode>
                <c:ptCount val="4"/>
                <c:pt idx="0">
                  <c:v>148</c:v>
                </c:pt>
                <c:pt idx="1">
                  <c:v>57</c:v>
                </c:pt>
                <c:pt idx="2">
                  <c:v>56</c:v>
                </c:pt>
                <c:pt idx="3">
                  <c:v>42</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Satisfaction Level Distribution</a:t>
            </a:r>
          </a:p>
        </c:rich>
      </c:tx>
      <c:overlay val="0"/>
      <c:spPr>
        <a:noFill/>
        <a:ln w="0">
          <a:noFill/>
        </a:ln>
      </c:spPr>
    </c:title>
    <c:autoTitleDeleted val="0"/>
    <c:plotArea>
      <c:lineChart>
        <c:grouping val="standard"/>
        <c:varyColors val="0"/>
        <c:ser>
          <c:idx val="0"/>
          <c:order val="0"/>
          <c:tx>
            <c:strRef>
              <c:f>Charts!B22</c:f>
              <c:strCache>
                <c:ptCount val="1"/>
                <c:pt idx="0">
                  <c:v>Count</c:v>
                </c:pt>
              </c:strCache>
            </c:strRef>
          </c:tx>
          <c:spPr>
            <a:solidFill>
              <a:srgbClr val="ed7d31"/>
            </a:solidFill>
            <a:ln w="47520">
              <a:solidFill>
                <a:srgbClr val="ed7d31"/>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Charts!$A$23:$A$27</c:f>
              <c:strCache>
                <c:ptCount val="5"/>
                <c:pt idx="0">
                  <c:v>1</c:v>
                </c:pt>
                <c:pt idx="1">
                  <c:v>2</c:v>
                </c:pt>
                <c:pt idx="2">
                  <c:v>3</c:v>
                </c:pt>
                <c:pt idx="3">
                  <c:v>4</c:v>
                </c:pt>
                <c:pt idx="4">
                  <c:v>5</c:v>
                </c:pt>
              </c:strCache>
            </c:strRef>
          </c:cat>
          <c:val>
            <c:numRef>
              <c:f>Charts!$B$23:$B$27</c:f>
              <c:numCache>
                <c:formatCode>General</c:formatCode>
                <c:ptCount val="5"/>
                <c:pt idx="0">
                  <c:v>56</c:v>
                </c:pt>
                <c:pt idx="1">
                  <c:v>53</c:v>
                </c:pt>
                <c:pt idx="2">
                  <c:v>72</c:v>
                </c:pt>
                <c:pt idx="3">
                  <c:v>57</c:v>
                </c:pt>
                <c:pt idx="4">
                  <c:v>65</c:v>
                </c:pt>
              </c:numCache>
            </c:numRef>
          </c:val>
          <c:smooth val="1"/>
        </c:ser>
        <c:hiLowLines>
          <c:spPr>
            <a:ln w="0">
              <a:noFill/>
            </a:ln>
          </c:spPr>
        </c:hiLowLines>
        <c:marker val="0"/>
        <c:axId val="16897005"/>
        <c:axId val="67131977"/>
      </c:lineChart>
      <c:catAx>
        <c:axId val="1689700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Satisfaction Score (1–5)</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131977"/>
        <c:crosses val="autoZero"/>
        <c:auto val="1"/>
        <c:lblAlgn val="ctr"/>
        <c:lblOffset val="100"/>
        <c:noMultiLvlLbl val="0"/>
      </c:catAx>
      <c:valAx>
        <c:axId val="6713197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Respondents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89700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0</xdr:row>
      <xdr:rowOff>0</xdr:rowOff>
    </xdr:from>
    <xdr:to>
      <xdr:col>13</xdr:col>
      <xdr:colOff>363960</xdr:colOff>
      <xdr:row>22</xdr:row>
      <xdr:rowOff>128160</xdr:rowOff>
    </xdr:to>
    <xdr:graphicFrame>
      <xdr:nvGraphicFramePr>
        <xdr:cNvPr id="0" name="Chart 1"/>
        <xdr:cNvGraphicFramePr/>
      </xdr:nvGraphicFramePr>
      <xdr:xfrm>
        <a:off x="3078360" y="0"/>
        <a:ext cx="6479280" cy="43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15</xdr:row>
      <xdr:rowOff>0</xdr:rowOff>
    </xdr:from>
    <xdr:to>
      <xdr:col>12</xdr:col>
      <xdr:colOff>255600</xdr:colOff>
      <xdr:row>37</xdr:row>
      <xdr:rowOff>128520</xdr:rowOff>
    </xdr:to>
    <xdr:graphicFrame>
      <xdr:nvGraphicFramePr>
        <xdr:cNvPr id="1" name="Chart 2"/>
        <xdr:cNvGraphicFramePr/>
      </xdr:nvGraphicFramePr>
      <xdr:xfrm>
        <a:off x="3078360" y="2857680"/>
        <a:ext cx="5759280" cy="431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30</xdr:row>
      <xdr:rowOff>0</xdr:rowOff>
    </xdr:from>
    <xdr:to>
      <xdr:col>13</xdr:col>
      <xdr:colOff>363960</xdr:colOff>
      <xdr:row>50</xdr:row>
      <xdr:rowOff>149400</xdr:rowOff>
    </xdr:to>
    <xdr:graphicFrame>
      <xdr:nvGraphicFramePr>
        <xdr:cNvPr id="2" name="Chart 3"/>
        <xdr:cNvGraphicFramePr/>
      </xdr:nvGraphicFramePr>
      <xdr:xfrm>
        <a:off x="3078360" y="5715000"/>
        <a:ext cx="6479280" cy="395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P3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6"/>
    <col collapsed="false" customWidth="true" hidden="false" outlineLevel="0" max="3" min="3" style="1" width="8"/>
    <col collapsed="false" customWidth="true" hidden="false" outlineLevel="0" max="4" min="4" style="1" width="12"/>
    <col collapsed="false" customWidth="true" hidden="false" outlineLevel="0" max="6" min="5" style="1" width="18"/>
    <col collapsed="false" customWidth="true" hidden="false" outlineLevel="0" max="7" min="7" style="1" width="20"/>
    <col collapsed="false" customWidth="true" hidden="false" outlineLevel="0" max="8" min="8" style="1" width="12"/>
    <col collapsed="false" customWidth="true" hidden="false" outlineLevel="0" max="9" min="9" style="1" width="18"/>
    <col collapsed="false" customWidth="true" hidden="false" outlineLevel="0" max="10" min="10" style="1" width="20"/>
    <col collapsed="false" customWidth="true" hidden="false" outlineLevel="0" max="11" min="11" style="1" width="18"/>
    <col collapsed="false" customWidth="true" hidden="false" outlineLevel="0" max="12" min="12" style="1" width="10"/>
    <col collapsed="false" customWidth="true" hidden="false" outlineLevel="0" max="13" min="13" style="1" width="14"/>
    <col collapsed="false" customWidth="true" hidden="false" outlineLevel="0" max="14" min="14" style="1" width="22"/>
    <col collapsed="false" customWidth="true" hidden="false" outlineLevel="0" max="15" min="15" style="1" width="16"/>
    <col collapsed="false" customWidth="true" hidden="false" outlineLevel="0" max="16" min="16" style="1" width="22"/>
  </cols>
  <sheetData>
    <row r="1" customFormat="false" ht="34.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ustomFormat="false" ht="15" hidden="false" customHeight="true" outlineLevel="0" collapsed="false">
      <c r="A2" s="3" t="s">
        <v>16</v>
      </c>
      <c r="B2" s="3" t="n">
        <v>25</v>
      </c>
      <c r="C2" s="3" t="s">
        <v>17</v>
      </c>
      <c r="D2" s="3" t="s">
        <v>18</v>
      </c>
      <c r="E2" s="3" t="s">
        <v>19</v>
      </c>
      <c r="F2" s="3" t="s">
        <v>20</v>
      </c>
      <c r="G2" s="3" t="s">
        <v>21</v>
      </c>
      <c r="H2" s="3" t="s">
        <v>22</v>
      </c>
      <c r="I2" s="3" t="s">
        <v>23</v>
      </c>
      <c r="J2" s="3" t="n">
        <v>1597</v>
      </c>
      <c r="K2" s="3" t="s">
        <v>24</v>
      </c>
      <c r="L2" s="3" t="n">
        <v>4</v>
      </c>
      <c r="M2" s="3" t="s">
        <v>25</v>
      </c>
      <c r="N2" s="3" t="s">
        <v>26</v>
      </c>
      <c r="O2" s="3" t="n">
        <v>1</v>
      </c>
      <c r="P2" s="3" t="n">
        <v>8</v>
      </c>
    </row>
    <row r="3" customFormat="false" ht="15" hidden="false" customHeight="true" outlineLevel="0" collapsed="false">
      <c r="A3" s="4" t="s">
        <v>27</v>
      </c>
      <c r="B3" s="4" t="n">
        <v>60</v>
      </c>
      <c r="C3" s="4" t="s">
        <v>28</v>
      </c>
      <c r="D3" s="4" t="s">
        <v>29</v>
      </c>
      <c r="E3" s="4" t="s">
        <v>30</v>
      </c>
      <c r="F3" s="4"/>
      <c r="G3" s="4" t="s">
        <v>21</v>
      </c>
      <c r="H3" s="4" t="s">
        <v>31</v>
      </c>
      <c r="I3" s="4" t="s">
        <v>32</v>
      </c>
      <c r="J3" s="4" t="n">
        <v>389</v>
      </c>
      <c r="K3" s="4" t="s">
        <v>33</v>
      </c>
      <c r="L3" s="4" t="n">
        <v>5</v>
      </c>
      <c r="M3" s="4" t="s">
        <v>25</v>
      </c>
      <c r="N3" s="4" t="s">
        <v>34</v>
      </c>
      <c r="O3" s="4" t="n">
        <v>2</v>
      </c>
      <c r="P3" s="4" t="n">
        <v>5</v>
      </c>
    </row>
    <row r="4" customFormat="false" ht="15" hidden="false" customHeight="true" outlineLevel="0" collapsed="false">
      <c r="A4" s="3" t="s">
        <v>35</v>
      </c>
      <c r="B4" s="3" t="n">
        <v>41</v>
      </c>
      <c r="C4" s="3" t="s">
        <v>17</v>
      </c>
      <c r="D4" s="3" t="s">
        <v>36</v>
      </c>
      <c r="E4" s="3" t="s">
        <v>37</v>
      </c>
      <c r="F4" s="3" t="s">
        <v>38</v>
      </c>
      <c r="G4" s="3" t="s">
        <v>21</v>
      </c>
      <c r="H4" s="3" t="s">
        <v>39</v>
      </c>
      <c r="I4" s="3" t="s">
        <v>40</v>
      </c>
      <c r="J4" s="3" t="n">
        <v>568</v>
      </c>
      <c r="K4" s="3" t="s">
        <v>24</v>
      </c>
      <c r="L4" s="3" t="n">
        <v>4</v>
      </c>
      <c r="M4" s="3" t="s">
        <v>41</v>
      </c>
      <c r="N4" s="3" t="s">
        <v>34</v>
      </c>
      <c r="O4" s="3" t="n">
        <v>5</v>
      </c>
      <c r="P4" s="3" t="n">
        <v>1</v>
      </c>
    </row>
    <row r="5" customFormat="false" ht="15" hidden="false" customHeight="true" outlineLevel="0" collapsed="false">
      <c r="A5" s="4" t="s">
        <v>42</v>
      </c>
      <c r="B5" s="4" t="n">
        <v>52</v>
      </c>
      <c r="C5" s="4" t="s">
        <v>28</v>
      </c>
      <c r="D5" s="4" t="s">
        <v>43</v>
      </c>
      <c r="E5" s="4" t="s">
        <v>44</v>
      </c>
      <c r="F5" s="4" t="s">
        <v>45</v>
      </c>
      <c r="G5" s="4" t="s">
        <v>21</v>
      </c>
      <c r="H5" s="4" t="s">
        <v>39</v>
      </c>
      <c r="I5" s="4" t="s">
        <v>23</v>
      </c>
      <c r="J5" s="4" t="n">
        <v>7896</v>
      </c>
      <c r="K5" s="4" t="s">
        <v>33</v>
      </c>
      <c r="L5" s="4" t="n">
        <v>4</v>
      </c>
      <c r="M5" s="4" t="s">
        <v>46</v>
      </c>
      <c r="N5" s="4" t="s">
        <v>34</v>
      </c>
      <c r="O5" s="4" t="n">
        <v>5</v>
      </c>
      <c r="P5" s="4" t="n">
        <v>10</v>
      </c>
    </row>
    <row r="6" customFormat="false" ht="15" hidden="false" customHeight="true" outlineLevel="0" collapsed="false">
      <c r="A6" s="3" t="s">
        <v>47</v>
      </c>
      <c r="B6" s="3" t="n">
        <v>51</v>
      </c>
      <c r="C6" s="3" t="s">
        <v>17</v>
      </c>
      <c r="D6" s="3" t="s">
        <v>48</v>
      </c>
      <c r="E6" s="3" t="s">
        <v>49</v>
      </c>
      <c r="F6" s="3" t="s">
        <v>50</v>
      </c>
      <c r="G6" s="3" t="s">
        <v>51</v>
      </c>
      <c r="H6" s="3"/>
      <c r="I6" s="3"/>
      <c r="J6" s="3"/>
      <c r="K6" s="3"/>
      <c r="L6" s="3" t="n">
        <v>2</v>
      </c>
      <c r="M6" s="3" t="s">
        <v>46</v>
      </c>
      <c r="N6" s="3" t="s">
        <v>34</v>
      </c>
      <c r="O6" s="3" t="n">
        <v>5</v>
      </c>
      <c r="P6" s="3" t="n">
        <v>3</v>
      </c>
    </row>
    <row r="7" customFormat="false" ht="15" hidden="false" customHeight="true" outlineLevel="0" collapsed="false">
      <c r="A7" s="4" t="s">
        <v>52</v>
      </c>
      <c r="B7" s="4" t="n">
        <v>36</v>
      </c>
      <c r="C7" s="4" t="s">
        <v>28</v>
      </c>
      <c r="D7" s="4" t="s">
        <v>53</v>
      </c>
      <c r="E7" s="4" t="s">
        <v>54</v>
      </c>
      <c r="F7" s="4" t="s">
        <v>38</v>
      </c>
      <c r="G7" s="4" t="s">
        <v>51</v>
      </c>
      <c r="H7" s="4"/>
      <c r="I7" s="4"/>
      <c r="J7" s="4"/>
      <c r="K7" s="4"/>
      <c r="L7" s="4" t="n">
        <v>1</v>
      </c>
      <c r="M7" s="4" t="s">
        <v>46</v>
      </c>
      <c r="N7" s="4" t="s">
        <v>34</v>
      </c>
      <c r="O7" s="4" t="n">
        <v>2</v>
      </c>
      <c r="P7" s="4" t="n">
        <v>9</v>
      </c>
    </row>
    <row r="8" customFormat="false" ht="15" hidden="false" customHeight="true" outlineLevel="0" collapsed="false">
      <c r="A8" s="3" t="s">
        <v>55</v>
      </c>
      <c r="B8" s="3" t="n">
        <v>21</v>
      </c>
      <c r="C8" s="3" t="s">
        <v>17</v>
      </c>
      <c r="D8" s="3" t="s">
        <v>53</v>
      </c>
      <c r="E8" s="3" t="s">
        <v>44</v>
      </c>
      <c r="F8" s="3" t="s">
        <v>38</v>
      </c>
      <c r="G8" s="3" t="s">
        <v>21</v>
      </c>
      <c r="H8" s="3" t="s">
        <v>56</v>
      </c>
      <c r="I8" s="3" t="s">
        <v>23</v>
      </c>
      <c r="J8" s="3" t="n">
        <v>266</v>
      </c>
      <c r="K8" s="3" t="s">
        <v>33</v>
      </c>
      <c r="L8" s="3" t="n">
        <v>2</v>
      </c>
      <c r="M8" s="3" t="s">
        <v>25</v>
      </c>
      <c r="N8" s="3" t="s">
        <v>26</v>
      </c>
      <c r="O8" s="3" t="n">
        <v>1</v>
      </c>
      <c r="P8" s="3" t="n">
        <v>7</v>
      </c>
    </row>
    <row r="9" customFormat="false" ht="15" hidden="false" customHeight="true" outlineLevel="0" collapsed="false">
      <c r="A9" s="4" t="s">
        <v>57</v>
      </c>
      <c r="B9" s="4" t="n">
        <v>59</v>
      </c>
      <c r="C9" s="4" t="s">
        <v>28</v>
      </c>
      <c r="D9" s="4" t="s">
        <v>48</v>
      </c>
      <c r="E9" s="4" t="s">
        <v>49</v>
      </c>
      <c r="F9" s="4" t="s">
        <v>58</v>
      </c>
      <c r="G9" s="4" t="s">
        <v>51</v>
      </c>
      <c r="H9" s="4"/>
      <c r="I9" s="4"/>
      <c r="J9" s="4"/>
      <c r="K9" s="4"/>
      <c r="L9" s="4" t="n">
        <v>1</v>
      </c>
      <c r="M9" s="4" t="s">
        <v>41</v>
      </c>
      <c r="N9" s="4" t="s">
        <v>34</v>
      </c>
      <c r="O9" s="4" t="n">
        <v>3</v>
      </c>
      <c r="P9" s="4" t="n">
        <v>7</v>
      </c>
    </row>
    <row r="10" customFormat="false" ht="15" hidden="false" customHeight="true" outlineLevel="0" collapsed="false">
      <c r="A10" s="3" t="s">
        <v>59</v>
      </c>
      <c r="B10" s="3" t="n">
        <v>18</v>
      </c>
      <c r="C10" s="3" t="s">
        <v>17</v>
      </c>
      <c r="D10" s="3" t="s">
        <v>43</v>
      </c>
      <c r="E10" s="3" t="s">
        <v>44</v>
      </c>
      <c r="F10" s="3"/>
      <c r="G10" s="3" t="s">
        <v>21</v>
      </c>
      <c r="H10" s="3" t="s">
        <v>31</v>
      </c>
      <c r="I10" s="3" t="s">
        <v>60</v>
      </c>
      <c r="J10" s="3" t="n">
        <v>821</v>
      </c>
      <c r="K10" s="3" t="s">
        <v>24</v>
      </c>
      <c r="L10" s="3" t="n">
        <v>5</v>
      </c>
      <c r="M10" s="3" t="s">
        <v>41</v>
      </c>
      <c r="N10" s="3" t="s">
        <v>26</v>
      </c>
      <c r="O10" s="3" t="n">
        <v>3</v>
      </c>
      <c r="P10" s="3" t="n">
        <v>7</v>
      </c>
    </row>
    <row r="11" customFormat="false" ht="15" hidden="false" customHeight="true" outlineLevel="0" collapsed="false">
      <c r="A11" s="4" t="s">
        <v>61</v>
      </c>
      <c r="B11" s="4" t="n">
        <v>38</v>
      </c>
      <c r="C11" s="4" t="s">
        <v>28</v>
      </c>
      <c r="D11" s="4" t="s">
        <v>62</v>
      </c>
      <c r="E11" s="4" t="s">
        <v>19</v>
      </c>
      <c r="F11" s="4" t="s">
        <v>38</v>
      </c>
      <c r="G11" s="4" t="s">
        <v>21</v>
      </c>
      <c r="H11" s="4" t="s">
        <v>63</v>
      </c>
      <c r="I11" s="4" t="s">
        <v>60</v>
      </c>
      <c r="J11" s="4" t="n">
        <v>256</v>
      </c>
      <c r="K11" s="4" t="s">
        <v>24</v>
      </c>
      <c r="L11" s="4" t="n">
        <v>1</v>
      </c>
      <c r="M11" s="4" t="s">
        <v>46</v>
      </c>
      <c r="N11" s="4" t="s">
        <v>34</v>
      </c>
      <c r="O11" s="4" t="n">
        <v>1</v>
      </c>
      <c r="P11" s="4" t="n">
        <v>2</v>
      </c>
    </row>
    <row r="12" customFormat="false" ht="15" hidden="false" customHeight="true" outlineLevel="0" collapsed="false">
      <c r="A12" s="3" t="s">
        <v>64</v>
      </c>
      <c r="B12" s="3" t="n">
        <v>22</v>
      </c>
      <c r="C12" s="3" t="s">
        <v>17</v>
      </c>
      <c r="D12" s="3" t="s">
        <v>65</v>
      </c>
      <c r="E12" s="3" t="s">
        <v>54</v>
      </c>
      <c r="F12" s="3" t="s">
        <v>58</v>
      </c>
      <c r="G12" s="3" t="s">
        <v>21</v>
      </c>
      <c r="H12" s="3" t="s">
        <v>66</v>
      </c>
      <c r="I12" s="3" t="s">
        <v>23</v>
      </c>
      <c r="J12" s="3" t="n">
        <v>13020</v>
      </c>
      <c r="K12" s="3" t="s">
        <v>24</v>
      </c>
      <c r="L12" s="3" t="n">
        <v>2</v>
      </c>
      <c r="M12" s="3" t="s">
        <v>46</v>
      </c>
      <c r="N12" s="3" t="s">
        <v>34</v>
      </c>
      <c r="O12" s="3" t="n">
        <v>5</v>
      </c>
      <c r="P12" s="3" t="n">
        <v>8</v>
      </c>
    </row>
    <row r="13" customFormat="false" ht="15" hidden="false" customHeight="true" outlineLevel="0" collapsed="false">
      <c r="A13" s="4" t="s">
        <v>67</v>
      </c>
      <c r="B13" s="4" t="n">
        <v>36</v>
      </c>
      <c r="C13" s="4" t="s">
        <v>17</v>
      </c>
      <c r="D13" s="4" t="s">
        <v>48</v>
      </c>
      <c r="E13" s="4" t="s">
        <v>54</v>
      </c>
      <c r="F13" s="4" t="s">
        <v>58</v>
      </c>
      <c r="G13" s="4" t="s">
        <v>21</v>
      </c>
      <c r="H13" s="4" t="s">
        <v>68</v>
      </c>
      <c r="I13" s="4" t="s">
        <v>69</v>
      </c>
      <c r="J13" s="4" t="n">
        <v>25253</v>
      </c>
      <c r="K13" s="4" t="s">
        <v>70</v>
      </c>
      <c r="L13" s="4"/>
      <c r="M13" s="4" t="s">
        <v>46</v>
      </c>
      <c r="N13" s="4" t="s">
        <v>71</v>
      </c>
      <c r="O13" s="4" t="n">
        <v>4</v>
      </c>
      <c r="P13" s="4" t="n">
        <v>5</v>
      </c>
    </row>
    <row r="14" customFormat="false" ht="15" hidden="false" customHeight="true" outlineLevel="0" collapsed="false">
      <c r="A14" s="3" t="s">
        <v>72</v>
      </c>
      <c r="B14" s="3" t="n">
        <v>34</v>
      </c>
      <c r="C14" s="3" t="s">
        <v>17</v>
      </c>
      <c r="D14" s="3" t="s">
        <v>29</v>
      </c>
      <c r="E14" s="3" t="s">
        <v>54</v>
      </c>
      <c r="F14" s="3" t="s">
        <v>38</v>
      </c>
      <c r="G14" s="3" t="s">
        <v>21</v>
      </c>
      <c r="H14" s="3" t="s">
        <v>39</v>
      </c>
      <c r="I14" s="3" t="s">
        <v>23</v>
      </c>
      <c r="J14" s="3" t="n">
        <v>414</v>
      </c>
      <c r="K14" s="3" t="s">
        <v>33</v>
      </c>
      <c r="L14" s="3" t="n">
        <v>5</v>
      </c>
      <c r="M14" s="3" t="s">
        <v>41</v>
      </c>
      <c r="N14" s="3" t="s">
        <v>71</v>
      </c>
      <c r="O14" s="3" t="n">
        <v>5</v>
      </c>
      <c r="P14" s="3" t="n">
        <v>10</v>
      </c>
    </row>
    <row r="15" customFormat="false" ht="15" hidden="false" customHeight="true" outlineLevel="0" collapsed="false">
      <c r="A15" s="4" t="s">
        <v>73</v>
      </c>
      <c r="B15" s="4" t="n">
        <v>57</v>
      </c>
      <c r="C15" s="4" t="s">
        <v>17</v>
      </c>
      <c r="D15" s="4" t="s">
        <v>65</v>
      </c>
      <c r="E15" s="4" t="s">
        <v>19</v>
      </c>
      <c r="F15" s="4" t="s">
        <v>20</v>
      </c>
      <c r="G15" s="4" t="s">
        <v>51</v>
      </c>
      <c r="H15" s="4"/>
      <c r="I15" s="4"/>
      <c r="J15" s="4"/>
      <c r="K15" s="4"/>
      <c r="L15" s="4" t="n">
        <v>2</v>
      </c>
      <c r="M15" s="4" t="s">
        <v>41</v>
      </c>
      <c r="N15" s="4" t="s">
        <v>71</v>
      </c>
      <c r="O15" s="4" t="n">
        <v>1</v>
      </c>
      <c r="P15" s="4" t="n">
        <v>5</v>
      </c>
    </row>
    <row r="16" customFormat="false" ht="15" hidden="false" customHeight="true" outlineLevel="0" collapsed="false">
      <c r="A16" s="3" t="s">
        <v>74</v>
      </c>
      <c r="B16" s="3" t="n">
        <v>30</v>
      </c>
      <c r="C16" s="3"/>
      <c r="D16" s="3" t="s">
        <v>65</v>
      </c>
      <c r="E16" s="3" t="s">
        <v>44</v>
      </c>
      <c r="F16" s="3" t="s">
        <v>58</v>
      </c>
      <c r="G16" s="3" t="s">
        <v>21</v>
      </c>
      <c r="H16" s="3" t="s">
        <v>56</v>
      </c>
      <c r="I16" s="3" t="s">
        <v>23</v>
      </c>
      <c r="J16" s="3" t="n">
        <v>26493</v>
      </c>
      <c r="K16" s="3" t="s">
        <v>33</v>
      </c>
      <c r="L16" s="3" t="n">
        <v>1</v>
      </c>
      <c r="M16" s="3" t="s">
        <v>41</v>
      </c>
      <c r="N16" s="3" t="s">
        <v>71</v>
      </c>
      <c r="O16" s="3" t="n">
        <v>5</v>
      </c>
      <c r="P16" s="3" t="n">
        <v>3</v>
      </c>
    </row>
    <row r="17" customFormat="false" ht="15" hidden="false" customHeight="true" outlineLevel="0" collapsed="false">
      <c r="A17" s="4" t="s">
        <v>75</v>
      </c>
      <c r="B17" s="4" t="n">
        <v>22</v>
      </c>
      <c r="C17" s="4" t="s">
        <v>28</v>
      </c>
      <c r="D17" s="4" t="s">
        <v>29</v>
      </c>
      <c r="E17" s="4" t="s">
        <v>30</v>
      </c>
      <c r="F17" s="4" t="s">
        <v>38</v>
      </c>
      <c r="G17" s="4" t="s">
        <v>51</v>
      </c>
      <c r="H17" s="4"/>
      <c r="I17" s="4"/>
      <c r="J17" s="4"/>
      <c r="K17" s="4"/>
      <c r="L17" s="4" t="n">
        <v>1</v>
      </c>
      <c r="M17" s="4" t="s">
        <v>25</v>
      </c>
      <c r="N17" s="4" t="s">
        <v>34</v>
      </c>
      <c r="O17" s="4" t="n">
        <v>3</v>
      </c>
      <c r="P17" s="4" t="n">
        <v>3</v>
      </c>
    </row>
    <row r="18" customFormat="false" ht="15" hidden="false" customHeight="true" outlineLevel="0" collapsed="false">
      <c r="A18" s="3" t="s">
        <v>76</v>
      </c>
      <c r="B18" s="3" t="n">
        <v>44</v>
      </c>
      <c r="C18" s="3" t="s">
        <v>17</v>
      </c>
      <c r="D18" s="3" t="s">
        <v>29</v>
      </c>
      <c r="E18" s="3" t="s">
        <v>49</v>
      </c>
      <c r="F18" s="3" t="s">
        <v>38</v>
      </c>
      <c r="G18" s="3" t="s">
        <v>51</v>
      </c>
      <c r="H18" s="3"/>
      <c r="I18" s="3"/>
      <c r="J18" s="3"/>
      <c r="K18" s="3"/>
      <c r="L18" s="3" t="n">
        <v>1</v>
      </c>
      <c r="M18" s="3" t="s">
        <v>46</v>
      </c>
      <c r="N18" s="3" t="s">
        <v>34</v>
      </c>
      <c r="O18" s="3" t="n">
        <v>5</v>
      </c>
      <c r="P18" s="3" t="n">
        <v>1</v>
      </c>
    </row>
    <row r="19" customFormat="false" ht="15" hidden="false" customHeight="true" outlineLevel="0" collapsed="false">
      <c r="A19" s="4" t="s">
        <v>77</v>
      </c>
      <c r="B19" s="4" t="n">
        <v>22</v>
      </c>
      <c r="C19" s="4" t="s">
        <v>17</v>
      </c>
      <c r="D19" s="4" t="s">
        <v>29</v>
      </c>
      <c r="E19" s="4" t="s">
        <v>37</v>
      </c>
      <c r="F19" s="4" t="s">
        <v>38</v>
      </c>
      <c r="G19" s="4" t="s">
        <v>51</v>
      </c>
      <c r="H19" s="4"/>
      <c r="I19" s="4"/>
      <c r="J19" s="4"/>
      <c r="K19" s="4"/>
      <c r="L19" s="4" t="n">
        <v>2</v>
      </c>
      <c r="M19" s="4" t="s">
        <v>41</v>
      </c>
      <c r="N19" s="4" t="s">
        <v>34</v>
      </c>
      <c r="O19" s="4" t="n">
        <v>2</v>
      </c>
      <c r="P19" s="4" t="n">
        <v>2</v>
      </c>
    </row>
    <row r="20" customFormat="false" ht="15" hidden="false" customHeight="true" outlineLevel="0" collapsed="false">
      <c r="A20" s="3" t="s">
        <v>78</v>
      </c>
      <c r="B20" s="3" t="n">
        <v>60</v>
      </c>
      <c r="C20" s="3" t="s">
        <v>17</v>
      </c>
      <c r="D20" s="3" t="s">
        <v>79</v>
      </c>
      <c r="E20" s="3" t="s">
        <v>30</v>
      </c>
      <c r="F20" s="3"/>
      <c r="G20" s="3" t="s">
        <v>51</v>
      </c>
      <c r="H20" s="3"/>
      <c r="I20" s="3"/>
      <c r="J20" s="3"/>
      <c r="K20" s="3"/>
      <c r="L20" s="3" t="n">
        <v>1</v>
      </c>
      <c r="M20" s="3" t="s">
        <v>46</v>
      </c>
      <c r="N20" s="3" t="s">
        <v>26</v>
      </c>
      <c r="O20" s="3" t="n">
        <v>3</v>
      </c>
      <c r="P20" s="3" t="n">
        <v>1</v>
      </c>
    </row>
    <row r="21" customFormat="false" ht="15" hidden="false" customHeight="true" outlineLevel="0" collapsed="false">
      <c r="A21" s="4" t="s">
        <v>80</v>
      </c>
      <c r="B21" s="4" t="n">
        <v>37</v>
      </c>
      <c r="C21" s="4" t="s">
        <v>28</v>
      </c>
      <c r="D21" s="4" t="s">
        <v>18</v>
      </c>
      <c r="E21" s="4" t="s">
        <v>54</v>
      </c>
      <c r="F21" s="4" t="s">
        <v>38</v>
      </c>
      <c r="G21" s="4" t="s">
        <v>21</v>
      </c>
      <c r="H21" s="4" t="s">
        <v>22</v>
      </c>
      <c r="I21" s="4" t="s">
        <v>69</v>
      </c>
      <c r="J21" s="4" t="n">
        <v>879</v>
      </c>
      <c r="K21" s="4" t="s">
        <v>24</v>
      </c>
      <c r="L21" s="4" t="n">
        <v>2</v>
      </c>
      <c r="M21" s="4" t="s">
        <v>41</v>
      </c>
      <c r="N21" s="4" t="s">
        <v>26</v>
      </c>
      <c r="O21" s="4" t="n">
        <v>2</v>
      </c>
      <c r="P21" s="4" t="n">
        <v>8</v>
      </c>
    </row>
    <row r="22" customFormat="false" ht="15" hidden="false" customHeight="true" outlineLevel="0" collapsed="false">
      <c r="A22" s="3" t="s">
        <v>81</v>
      </c>
      <c r="B22" s="3" t="n">
        <v>57</v>
      </c>
      <c r="C22" s="3" t="s">
        <v>17</v>
      </c>
      <c r="D22" s="3" t="s">
        <v>53</v>
      </c>
      <c r="E22" s="3" t="s">
        <v>44</v>
      </c>
      <c r="F22" s="3" t="s">
        <v>50</v>
      </c>
      <c r="G22" s="3" t="s">
        <v>51</v>
      </c>
      <c r="H22" s="3"/>
      <c r="I22" s="3"/>
      <c r="J22" s="3"/>
      <c r="K22" s="3"/>
      <c r="L22" s="3" t="n">
        <v>3</v>
      </c>
      <c r="M22" s="3" t="s">
        <v>41</v>
      </c>
      <c r="N22" s="3" t="s">
        <v>34</v>
      </c>
      <c r="O22" s="3" t="n">
        <v>3</v>
      </c>
      <c r="P22" s="3" t="n">
        <v>3</v>
      </c>
    </row>
    <row r="23" customFormat="false" ht="15" hidden="false" customHeight="true" outlineLevel="0" collapsed="false">
      <c r="A23" s="4" t="s">
        <v>82</v>
      </c>
      <c r="B23" s="4" t="n">
        <v>26</v>
      </c>
      <c r="C23" s="4" t="s">
        <v>28</v>
      </c>
      <c r="D23" s="4" t="s">
        <v>18</v>
      </c>
      <c r="E23" s="4" t="s">
        <v>19</v>
      </c>
      <c r="F23" s="4" t="s">
        <v>45</v>
      </c>
      <c r="G23" s="4" t="s">
        <v>51</v>
      </c>
      <c r="H23" s="4"/>
      <c r="I23" s="4"/>
      <c r="J23" s="4"/>
      <c r="K23" s="4"/>
      <c r="L23" s="4" t="n">
        <v>1</v>
      </c>
      <c r="M23" s="4" t="s">
        <v>25</v>
      </c>
      <c r="N23" s="4" t="s">
        <v>26</v>
      </c>
      <c r="O23" s="4" t="n">
        <v>1</v>
      </c>
      <c r="P23" s="4" t="n">
        <v>2</v>
      </c>
    </row>
    <row r="24" customFormat="false" ht="15" hidden="false" customHeight="true" outlineLevel="0" collapsed="false">
      <c r="A24" s="3" t="s">
        <v>83</v>
      </c>
      <c r="B24" s="3" t="n">
        <v>44</v>
      </c>
      <c r="C24" s="3" t="s">
        <v>17</v>
      </c>
      <c r="D24" s="3" t="s">
        <v>53</v>
      </c>
      <c r="E24" s="3" t="s">
        <v>54</v>
      </c>
      <c r="F24" s="3" t="s">
        <v>58</v>
      </c>
      <c r="G24" s="3" t="s">
        <v>21</v>
      </c>
      <c r="H24" s="3" t="s">
        <v>22</v>
      </c>
      <c r="I24" s="3" t="s">
        <v>40</v>
      </c>
      <c r="J24" s="3" t="n">
        <v>20744</v>
      </c>
      <c r="K24" s="3" t="s">
        <v>33</v>
      </c>
      <c r="L24" s="3" t="n">
        <v>5</v>
      </c>
      <c r="M24" s="3" t="s">
        <v>25</v>
      </c>
      <c r="N24" s="3" t="s">
        <v>84</v>
      </c>
      <c r="O24" s="3" t="n">
        <v>5</v>
      </c>
      <c r="P24" s="3" t="n">
        <v>10</v>
      </c>
    </row>
    <row r="25" customFormat="false" ht="15" hidden="false" customHeight="true" outlineLevel="0" collapsed="false">
      <c r="A25" s="4" t="s">
        <v>85</v>
      </c>
      <c r="B25" s="4" t="n">
        <v>44</v>
      </c>
      <c r="C25" s="4" t="s">
        <v>28</v>
      </c>
      <c r="D25" s="4" t="s">
        <v>65</v>
      </c>
      <c r="E25" s="4" t="s">
        <v>37</v>
      </c>
      <c r="F25" s="4" t="s">
        <v>50</v>
      </c>
      <c r="G25" s="4" t="s">
        <v>51</v>
      </c>
      <c r="H25" s="4"/>
      <c r="I25" s="4"/>
      <c r="J25" s="4"/>
      <c r="K25" s="4"/>
      <c r="L25" s="4" t="n">
        <v>1</v>
      </c>
      <c r="M25" s="4" t="s">
        <v>41</v>
      </c>
      <c r="N25" s="4" t="s">
        <v>34</v>
      </c>
      <c r="O25" s="4" t="n">
        <v>3</v>
      </c>
      <c r="P25" s="4" t="n">
        <v>4</v>
      </c>
    </row>
    <row r="26" customFormat="false" ht="15" hidden="false" customHeight="true" outlineLevel="0" collapsed="false">
      <c r="A26" s="3" t="s">
        <v>86</v>
      </c>
      <c r="B26" s="3" t="n">
        <v>37</v>
      </c>
      <c r="C26" s="3" t="s">
        <v>28</v>
      </c>
      <c r="D26" s="3" t="s">
        <v>43</v>
      </c>
      <c r="E26" s="3" t="s">
        <v>19</v>
      </c>
      <c r="F26" s="3"/>
      <c r="G26" s="3" t="s">
        <v>21</v>
      </c>
      <c r="H26" s="3" t="s">
        <v>68</v>
      </c>
      <c r="I26" s="3" t="s">
        <v>23</v>
      </c>
      <c r="J26" s="3" t="n">
        <v>29429</v>
      </c>
      <c r="K26" s="3" t="s">
        <v>24</v>
      </c>
      <c r="L26" s="3" t="n">
        <v>1</v>
      </c>
      <c r="M26" s="3" t="s">
        <v>46</v>
      </c>
      <c r="N26" s="3" t="s">
        <v>34</v>
      </c>
      <c r="O26" s="3" t="n">
        <v>2</v>
      </c>
      <c r="P26" s="3" t="n">
        <v>2</v>
      </c>
    </row>
    <row r="27" customFormat="false" ht="15" hidden="false" customHeight="true" outlineLevel="0" collapsed="false">
      <c r="A27" s="4" t="s">
        <v>87</v>
      </c>
      <c r="B27" s="4" t="n">
        <v>27</v>
      </c>
      <c r="C27" s="4" t="s">
        <v>17</v>
      </c>
      <c r="D27" s="4" t="s">
        <v>62</v>
      </c>
      <c r="E27" s="4" t="s">
        <v>44</v>
      </c>
      <c r="F27" s="4" t="s">
        <v>38</v>
      </c>
      <c r="G27" s="4" t="s">
        <v>21</v>
      </c>
      <c r="H27" s="4" t="s">
        <v>22</v>
      </c>
      <c r="I27" s="4" t="s">
        <v>23</v>
      </c>
      <c r="J27" s="4" t="n">
        <v>775</v>
      </c>
      <c r="K27" s="4" t="s">
        <v>33</v>
      </c>
      <c r="L27" s="4" t="n">
        <v>3</v>
      </c>
      <c r="M27" s="4" t="s">
        <v>25</v>
      </c>
      <c r="N27" s="4" t="s">
        <v>84</v>
      </c>
      <c r="O27" s="4" t="n">
        <v>1</v>
      </c>
      <c r="P27" s="4" t="n">
        <v>7</v>
      </c>
    </row>
    <row r="28" customFormat="false" ht="15" hidden="false" customHeight="true" outlineLevel="0" collapsed="false">
      <c r="A28" s="3" t="s">
        <v>88</v>
      </c>
      <c r="B28" s="3" t="n">
        <v>51</v>
      </c>
      <c r="C28" s="3" t="s">
        <v>28</v>
      </c>
      <c r="D28" s="3" t="s">
        <v>18</v>
      </c>
      <c r="E28" s="3" t="s">
        <v>44</v>
      </c>
      <c r="F28" s="3" t="s">
        <v>20</v>
      </c>
      <c r="G28" s="3" t="s">
        <v>21</v>
      </c>
      <c r="H28" s="3" t="s">
        <v>66</v>
      </c>
      <c r="I28" s="3" t="s">
        <v>23</v>
      </c>
      <c r="J28" s="3" t="n">
        <v>2902</v>
      </c>
      <c r="K28" s="3" t="s">
        <v>33</v>
      </c>
      <c r="L28" s="3" t="n">
        <v>3</v>
      </c>
      <c r="M28" s="3" t="s">
        <v>41</v>
      </c>
      <c r="N28" s="3" t="s">
        <v>26</v>
      </c>
      <c r="O28" s="3" t="n">
        <v>5</v>
      </c>
      <c r="P28" s="3" t="n">
        <v>6</v>
      </c>
    </row>
    <row r="29" customFormat="false" ht="15" hidden="false" customHeight="true" outlineLevel="0" collapsed="false">
      <c r="A29" s="4" t="s">
        <v>89</v>
      </c>
      <c r="B29" s="4" t="n">
        <v>44</v>
      </c>
      <c r="C29" s="4" t="s">
        <v>28</v>
      </c>
      <c r="D29" s="4" t="s">
        <v>43</v>
      </c>
      <c r="E29" s="4" t="s">
        <v>54</v>
      </c>
      <c r="F29" s="4" t="s">
        <v>58</v>
      </c>
      <c r="G29" s="4" t="s">
        <v>21</v>
      </c>
      <c r="H29" s="4" t="s">
        <v>66</v>
      </c>
      <c r="I29" s="4" t="s">
        <v>40</v>
      </c>
      <c r="J29" s="4" t="n">
        <v>25559</v>
      </c>
      <c r="K29" s="4" t="s">
        <v>33</v>
      </c>
      <c r="L29" s="4" t="n">
        <v>3</v>
      </c>
      <c r="M29" s="4" t="s">
        <v>46</v>
      </c>
      <c r="N29" s="4" t="s">
        <v>34</v>
      </c>
      <c r="O29" s="4" t="n">
        <v>5</v>
      </c>
      <c r="P29" s="4" t="n">
        <v>4</v>
      </c>
    </row>
    <row r="30" customFormat="false" ht="15" hidden="false" customHeight="true" outlineLevel="0" collapsed="false">
      <c r="A30" s="3" t="s">
        <v>90</v>
      </c>
      <c r="B30" s="3" t="n">
        <v>45</v>
      </c>
      <c r="C30" s="3" t="s">
        <v>17</v>
      </c>
      <c r="D30" s="3" t="s">
        <v>18</v>
      </c>
      <c r="E30" s="3" t="s">
        <v>19</v>
      </c>
      <c r="F30" s="3" t="s">
        <v>58</v>
      </c>
      <c r="G30" s="3" t="s">
        <v>21</v>
      </c>
      <c r="H30" s="3" t="s">
        <v>66</v>
      </c>
      <c r="I30" s="3" t="s">
        <v>23</v>
      </c>
      <c r="J30" s="3" t="n">
        <v>15486</v>
      </c>
      <c r="K30" s="3" t="s">
        <v>33</v>
      </c>
      <c r="L30" s="3" t="n">
        <v>4</v>
      </c>
      <c r="M30" s="3" t="s">
        <v>41</v>
      </c>
      <c r="N30" s="3" t="s">
        <v>71</v>
      </c>
      <c r="O30" s="3" t="n">
        <v>2</v>
      </c>
      <c r="P30" s="3" t="n">
        <v>10</v>
      </c>
    </row>
    <row r="31" customFormat="false" ht="15" hidden="false" customHeight="true" outlineLevel="0" collapsed="false">
      <c r="A31" s="4" t="s">
        <v>91</v>
      </c>
      <c r="B31" s="4" t="n">
        <v>34</v>
      </c>
      <c r="C31" s="4" t="s">
        <v>17</v>
      </c>
      <c r="D31" s="4" t="s">
        <v>48</v>
      </c>
      <c r="E31" s="4" t="s">
        <v>44</v>
      </c>
      <c r="F31" s="4" t="s">
        <v>20</v>
      </c>
      <c r="G31" s="4" t="s">
        <v>21</v>
      </c>
      <c r="H31" s="4" t="s">
        <v>39</v>
      </c>
      <c r="I31" s="4" t="s">
        <v>69</v>
      </c>
      <c r="J31" s="4" t="n">
        <v>2680</v>
      </c>
      <c r="K31" s="4" t="s">
        <v>24</v>
      </c>
      <c r="L31" s="4" t="n">
        <v>3</v>
      </c>
      <c r="M31" s="4" t="s">
        <v>25</v>
      </c>
      <c r="N31" s="4" t="s">
        <v>84</v>
      </c>
      <c r="O31" s="4" t="n">
        <v>4</v>
      </c>
      <c r="P31" s="4" t="n">
        <v>7</v>
      </c>
    </row>
    <row r="32" customFormat="false" ht="15" hidden="false" customHeight="true" outlineLevel="0" collapsed="false">
      <c r="A32" s="3" t="s">
        <v>92</v>
      </c>
      <c r="B32" s="3" t="n">
        <v>32</v>
      </c>
      <c r="C32" s="3" t="s">
        <v>28</v>
      </c>
      <c r="D32" s="3" t="s">
        <v>79</v>
      </c>
      <c r="E32" s="3" t="s">
        <v>37</v>
      </c>
      <c r="F32" s="3" t="s">
        <v>50</v>
      </c>
      <c r="G32" s="3" t="s">
        <v>51</v>
      </c>
      <c r="H32" s="3"/>
      <c r="I32" s="3"/>
      <c r="J32" s="3"/>
      <c r="K32" s="3"/>
      <c r="L32" s="3" t="n">
        <v>3</v>
      </c>
      <c r="M32" s="3" t="s">
        <v>25</v>
      </c>
      <c r="N32" s="3" t="s">
        <v>34</v>
      </c>
      <c r="O32" s="3" t="n">
        <v>3</v>
      </c>
      <c r="P32" s="3" t="n">
        <v>4</v>
      </c>
    </row>
    <row r="33" customFormat="false" ht="15" hidden="false" customHeight="true" outlineLevel="0" collapsed="false">
      <c r="A33" s="4" t="s">
        <v>93</v>
      </c>
      <c r="B33" s="4" t="n">
        <v>39</v>
      </c>
      <c r="C33" s="4" t="s">
        <v>28</v>
      </c>
      <c r="D33" s="4" t="s">
        <v>53</v>
      </c>
      <c r="E33" s="4" t="s">
        <v>30</v>
      </c>
      <c r="F33" s="4" t="s">
        <v>45</v>
      </c>
      <c r="G33" s="4" t="s">
        <v>21</v>
      </c>
      <c r="H33" s="4" t="s">
        <v>22</v>
      </c>
      <c r="I33" s="4" t="s">
        <v>69</v>
      </c>
      <c r="J33" s="4" t="n">
        <v>10978</v>
      </c>
      <c r="K33" s="4" t="s">
        <v>24</v>
      </c>
      <c r="L33" s="4" t="n">
        <v>1</v>
      </c>
      <c r="M33" s="4" t="s">
        <v>41</v>
      </c>
      <c r="N33" s="4" t="s">
        <v>34</v>
      </c>
      <c r="O33" s="4" t="n">
        <v>5</v>
      </c>
      <c r="P33" s="4" t="n">
        <v>2</v>
      </c>
    </row>
    <row r="34" customFormat="false" ht="15" hidden="false" customHeight="true" outlineLevel="0" collapsed="false">
      <c r="A34" s="3" t="s">
        <v>94</v>
      </c>
      <c r="B34" s="3" t="n">
        <v>18</v>
      </c>
      <c r="C34" s="3" t="s">
        <v>28</v>
      </c>
      <c r="D34" s="3" t="s">
        <v>18</v>
      </c>
      <c r="E34" s="3" t="s">
        <v>54</v>
      </c>
      <c r="F34" s="3" t="s">
        <v>20</v>
      </c>
      <c r="G34" s="3" t="s">
        <v>21</v>
      </c>
      <c r="H34" s="3" t="s">
        <v>22</v>
      </c>
      <c r="I34" s="3" t="s">
        <v>60</v>
      </c>
      <c r="J34" s="3" t="n">
        <v>2868</v>
      </c>
      <c r="K34" s="3" t="s">
        <v>70</v>
      </c>
      <c r="L34" s="3" t="n">
        <v>2</v>
      </c>
      <c r="M34" s="3" t="s">
        <v>25</v>
      </c>
      <c r="N34" s="3" t="s">
        <v>84</v>
      </c>
      <c r="O34" s="3" t="n">
        <v>3</v>
      </c>
      <c r="P34" s="3" t="n">
        <v>2</v>
      </c>
    </row>
    <row r="35" customFormat="false" ht="15" hidden="false" customHeight="true" outlineLevel="0" collapsed="false">
      <c r="A35" s="4" t="s">
        <v>95</v>
      </c>
      <c r="B35" s="4" t="n">
        <v>18</v>
      </c>
      <c r="C35" s="4" t="s">
        <v>28</v>
      </c>
      <c r="D35" s="4" t="s">
        <v>48</v>
      </c>
      <c r="E35" s="4" t="s">
        <v>54</v>
      </c>
      <c r="F35" s="4" t="s">
        <v>58</v>
      </c>
      <c r="G35" s="4" t="s">
        <v>21</v>
      </c>
      <c r="H35" s="4" t="s">
        <v>39</v>
      </c>
      <c r="I35" s="4" t="s">
        <v>40</v>
      </c>
      <c r="J35" s="4" t="n">
        <v>21120</v>
      </c>
      <c r="K35" s="4" t="s">
        <v>33</v>
      </c>
      <c r="L35" s="4" t="n">
        <v>2</v>
      </c>
      <c r="M35" s="4" t="s">
        <v>25</v>
      </c>
      <c r="N35" s="4" t="s">
        <v>34</v>
      </c>
      <c r="O35" s="4" t="n">
        <v>3</v>
      </c>
      <c r="P35" s="4" t="n">
        <v>9</v>
      </c>
    </row>
    <row r="36" customFormat="false" ht="15" hidden="false" customHeight="true" outlineLevel="0" collapsed="false">
      <c r="A36" s="3" t="s">
        <v>96</v>
      </c>
      <c r="B36" s="3" t="n">
        <v>59</v>
      </c>
      <c r="C36" s="3" t="s">
        <v>28</v>
      </c>
      <c r="D36" s="3" t="s">
        <v>62</v>
      </c>
      <c r="E36" s="3" t="s">
        <v>37</v>
      </c>
      <c r="F36" s="3" t="s">
        <v>38</v>
      </c>
      <c r="G36" s="3" t="s">
        <v>21</v>
      </c>
      <c r="H36" s="3" t="s">
        <v>68</v>
      </c>
      <c r="I36" s="3" t="s">
        <v>40</v>
      </c>
      <c r="J36" s="3" t="n">
        <v>820</v>
      </c>
      <c r="K36" s="3" t="s">
        <v>24</v>
      </c>
      <c r="L36" s="3" t="n">
        <v>1</v>
      </c>
      <c r="M36" s="3" t="s">
        <v>41</v>
      </c>
      <c r="N36" s="3" t="s">
        <v>34</v>
      </c>
      <c r="O36" s="3" t="n">
        <v>5</v>
      </c>
      <c r="P36" s="3" t="n">
        <v>5</v>
      </c>
    </row>
    <row r="37" customFormat="false" ht="15" hidden="false" customHeight="true" outlineLevel="0" collapsed="false">
      <c r="A37" s="4" t="s">
        <v>97</v>
      </c>
      <c r="B37" s="4" t="n">
        <v>27</v>
      </c>
      <c r="C37" s="4" t="s">
        <v>28</v>
      </c>
      <c r="D37" s="4" t="s">
        <v>53</v>
      </c>
      <c r="E37" s="4" t="s">
        <v>19</v>
      </c>
      <c r="F37" s="4" t="s">
        <v>20</v>
      </c>
      <c r="G37" s="4" t="s">
        <v>51</v>
      </c>
      <c r="H37" s="4"/>
      <c r="I37" s="4"/>
      <c r="J37" s="4"/>
      <c r="K37" s="4"/>
      <c r="L37" s="4" t="n">
        <v>2</v>
      </c>
      <c r="M37" s="4" t="s">
        <v>25</v>
      </c>
      <c r="N37" s="4" t="s">
        <v>34</v>
      </c>
      <c r="O37" s="4" t="n">
        <v>4</v>
      </c>
      <c r="P37" s="4" t="n">
        <v>3</v>
      </c>
    </row>
    <row r="38" customFormat="false" ht="15" hidden="false" customHeight="true" outlineLevel="0" collapsed="false">
      <c r="A38" s="3" t="s">
        <v>98</v>
      </c>
      <c r="B38" s="3" t="n">
        <v>50</v>
      </c>
      <c r="C38" s="3" t="s">
        <v>28</v>
      </c>
      <c r="D38" s="3" t="s">
        <v>29</v>
      </c>
      <c r="E38" s="3" t="s">
        <v>30</v>
      </c>
      <c r="F38" s="3" t="s">
        <v>45</v>
      </c>
      <c r="G38" s="3" t="s">
        <v>51</v>
      </c>
      <c r="H38" s="3"/>
      <c r="I38" s="3"/>
      <c r="J38" s="3"/>
      <c r="K38" s="3"/>
      <c r="L38" s="3" t="n">
        <v>2</v>
      </c>
      <c r="M38" s="3" t="s">
        <v>41</v>
      </c>
      <c r="N38" s="3" t="s">
        <v>34</v>
      </c>
      <c r="O38" s="3" t="n">
        <v>4</v>
      </c>
      <c r="P38" s="3" t="n">
        <v>8</v>
      </c>
    </row>
    <row r="39" customFormat="false" ht="15" hidden="false" customHeight="true" outlineLevel="0" collapsed="false">
      <c r="A39" s="4" t="s">
        <v>99</v>
      </c>
      <c r="B39" s="4" t="n">
        <v>22</v>
      </c>
      <c r="C39" s="4"/>
      <c r="D39" s="4" t="s">
        <v>79</v>
      </c>
      <c r="E39" s="4" t="s">
        <v>54</v>
      </c>
      <c r="F39" s="4" t="s">
        <v>45</v>
      </c>
      <c r="G39" s="4" t="s">
        <v>21</v>
      </c>
      <c r="H39" s="4" t="s">
        <v>22</v>
      </c>
      <c r="I39" s="4" t="s">
        <v>60</v>
      </c>
      <c r="J39" s="4" t="n">
        <v>12726</v>
      </c>
      <c r="K39" s="4" t="s">
        <v>33</v>
      </c>
      <c r="L39" s="4" t="n">
        <v>4</v>
      </c>
      <c r="M39" s="4" t="s">
        <v>46</v>
      </c>
      <c r="N39" s="4" t="s">
        <v>84</v>
      </c>
      <c r="O39" s="4" t="n">
        <v>5</v>
      </c>
      <c r="P39" s="4" t="n">
        <v>1</v>
      </c>
    </row>
    <row r="40" customFormat="false" ht="15" hidden="false" customHeight="true" outlineLevel="0" collapsed="false">
      <c r="A40" s="3" t="s">
        <v>100</v>
      </c>
      <c r="B40" s="3" t="n">
        <v>41</v>
      </c>
      <c r="C40" s="3"/>
      <c r="D40" s="3" t="s">
        <v>29</v>
      </c>
      <c r="E40" s="3" t="s">
        <v>19</v>
      </c>
      <c r="F40" s="3"/>
      <c r="G40" s="3" t="s">
        <v>21</v>
      </c>
      <c r="H40" s="3" t="s">
        <v>31</v>
      </c>
      <c r="I40" s="3" t="s">
        <v>32</v>
      </c>
      <c r="J40" s="3" t="n">
        <v>626</v>
      </c>
      <c r="K40" s="3" t="s">
        <v>24</v>
      </c>
      <c r="L40" s="3" t="n">
        <v>3</v>
      </c>
      <c r="M40" s="3" t="s">
        <v>41</v>
      </c>
      <c r="N40" s="3" t="s">
        <v>34</v>
      </c>
      <c r="O40" s="3" t="n">
        <v>1</v>
      </c>
      <c r="P40" s="3" t="n">
        <v>4</v>
      </c>
    </row>
    <row r="41" customFormat="false" ht="15" hidden="false" customHeight="true" outlineLevel="0" collapsed="false">
      <c r="A41" s="4" t="s">
        <v>101</v>
      </c>
      <c r="B41" s="4" t="n">
        <v>21</v>
      </c>
      <c r="C41" s="4" t="s">
        <v>28</v>
      </c>
      <c r="D41" s="4" t="s">
        <v>48</v>
      </c>
      <c r="E41" s="4" t="s">
        <v>37</v>
      </c>
      <c r="F41" s="4" t="s">
        <v>50</v>
      </c>
      <c r="G41" s="4" t="s">
        <v>21</v>
      </c>
      <c r="H41" s="4" t="s">
        <v>31</v>
      </c>
      <c r="I41" s="4" t="s">
        <v>40</v>
      </c>
      <c r="J41" s="4"/>
      <c r="K41" s="4" t="s">
        <v>33</v>
      </c>
      <c r="L41" s="4" t="n">
        <v>1</v>
      </c>
      <c r="M41" s="4" t="s">
        <v>46</v>
      </c>
      <c r="N41" s="4" t="s">
        <v>34</v>
      </c>
      <c r="O41" s="4" t="n">
        <v>5</v>
      </c>
      <c r="P41" s="4" t="n">
        <v>4</v>
      </c>
    </row>
    <row r="42" customFormat="false" ht="15" hidden="false" customHeight="true" outlineLevel="0" collapsed="false">
      <c r="A42" s="3" t="s">
        <v>102</v>
      </c>
      <c r="B42" s="3" t="n">
        <v>50</v>
      </c>
      <c r="C42" s="3" t="s">
        <v>28</v>
      </c>
      <c r="D42" s="3" t="s">
        <v>48</v>
      </c>
      <c r="E42" s="3" t="s">
        <v>30</v>
      </c>
      <c r="F42" s="3" t="s">
        <v>58</v>
      </c>
      <c r="G42" s="3" t="s">
        <v>21</v>
      </c>
      <c r="H42" s="3" t="s">
        <v>39</v>
      </c>
      <c r="I42" s="3" t="s">
        <v>23</v>
      </c>
      <c r="J42" s="3" t="n">
        <v>10014</v>
      </c>
      <c r="K42" s="3" t="s">
        <v>70</v>
      </c>
      <c r="L42" s="3" t="n">
        <v>4</v>
      </c>
      <c r="M42" s="3" t="s">
        <v>41</v>
      </c>
      <c r="N42" s="3" t="s">
        <v>84</v>
      </c>
      <c r="O42" s="3" t="n">
        <v>1</v>
      </c>
      <c r="P42" s="3" t="n">
        <v>1</v>
      </c>
    </row>
    <row r="43" customFormat="false" ht="15" hidden="false" customHeight="true" outlineLevel="0" collapsed="false">
      <c r="A43" s="4" t="s">
        <v>103</v>
      </c>
      <c r="B43" s="4" t="n">
        <v>55</v>
      </c>
      <c r="C43" s="4" t="s">
        <v>17</v>
      </c>
      <c r="D43" s="4" t="s">
        <v>79</v>
      </c>
      <c r="E43" s="4" t="s">
        <v>19</v>
      </c>
      <c r="F43" s="4" t="s">
        <v>58</v>
      </c>
      <c r="G43" s="4" t="s">
        <v>21</v>
      </c>
      <c r="H43" s="4" t="s">
        <v>63</v>
      </c>
      <c r="I43" s="4" t="s">
        <v>32</v>
      </c>
      <c r="J43" s="4" t="n">
        <v>15707</v>
      </c>
      <c r="K43" s="4" t="s">
        <v>24</v>
      </c>
      <c r="L43" s="4" t="n">
        <v>3</v>
      </c>
      <c r="M43" s="4" t="s">
        <v>41</v>
      </c>
      <c r="N43" s="4" t="s">
        <v>71</v>
      </c>
      <c r="O43" s="4" t="n">
        <v>1</v>
      </c>
      <c r="P43" s="4" t="n">
        <v>9</v>
      </c>
    </row>
    <row r="44" customFormat="false" ht="15" hidden="false" customHeight="true" outlineLevel="0" collapsed="false">
      <c r="A44" s="3" t="s">
        <v>104</v>
      </c>
      <c r="B44" s="3" t="n">
        <v>55</v>
      </c>
      <c r="C44" s="3" t="s">
        <v>28</v>
      </c>
      <c r="D44" s="3" t="s">
        <v>29</v>
      </c>
      <c r="E44" s="3" t="s">
        <v>37</v>
      </c>
      <c r="F44" s="3" t="s">
        <v>20</v>
      </c>
      <c r="G44" s="3" t="s">
        <v>51</v>
      </c>
      <c r="H44" s="3"/>
      <c r="I44" s="3"/>
      <c r="J44" s="3"/>
      <c r="K44" s="3"/>
      <c r="L44" s="3" t="n">
        <v>1</v>
      </c>
      <c r="M44" s="3" t="s">
        <v>41</v>
      </c>
      <c r="N44" s="3" t="s">
        <v>34</v>
      </c>
      <c r="O44" s="3" t="n">
        <v>2</v>
      </c>
      <c r="P44" s="3" t="n">
        <v>5</v>
      </c>
    </row>
    <row r="45" customFormat="false" ht="15" hidden="false" customHeight="true" outlineLevel="0" collapsed="false">
      <c r="A45" s="4" t="s">
        <v>105</v>
      </c>
      <c r="B45" s="4" t="n">
        <v>20</v>
      </c>
      <c r="C45" s="4" t="s">
        <v>17</v>
      </c>
      <c r="D45" s="4" t="s">
        <v>53</v>
      </c>
      <c r="E45" s="4" t="s">
        <v>54</v>
      </c>
      <c r="F45" s="4" t="s">
        <v>58</v>
      </c>
      <c r="G45" s="4" t="s">
        <v>51</v>
      </c>
      <c r="H45" s="4" t="s">
        <v>39</v>
      </c>
      <c r="I45" s="4"/>
      <c r="J45" s="4"/>
      <c r="K45" s="4"/>
      <c r="L45" s="4" t="n">
        <v>1</v>
      </c>
      <c r="M45" s="4" t="s">
        <v>41</v>
      </c>
      <c r="N45" s="4" t="s">
        <v>34</v>
      </c>
      <c r="O45" s="4" t="n">
        <v>4</v>
      </c>
      <c r="P45" s="4" t="n">
        <v>6</v>
      </c>
    </row>
    <row r="46" customFormat="false" ht="15" hidden="false" customHeight="true" outlineLevel="0" collapsed="false">
      <c r="A46" s="3" t="s">
        <v>106</v>
      </c>
      <c r="B46" s="3" t="n">
        <v>36</v>
      </c>
      <c r="C46" s="3" t="s">
        <v>17</v>
      </c>
      <c r="D46" s="3" t="s">
        <v>79</v>
      </c>
      <c r="E46" s="3" t="s">
        <v>44</v>
      </c>
      <c r="F46" s="3" t="s">
        <v>50</v>
      </c>
      <c r="G46" s="3" t="s">
        <v>21</v>
      </c>
      <c r="H46" s="3" t="s">
        <v>66</v>
      </c>
      <c r="I46" s="3" t="s">
        <v>23</v>
      </c>
      <c r="J46" s="3" t="n">
        <v>2865</v>
      </c>
      <c r="K46" s="3" t="s">
        <v>33</v>
      </c>
      <c r="L46" s="3" t="n">
        <v>3</v>
      </c>
      <c r="M46" s="3" t="s">
        <v>25</v>
      </c>
      <c r="N46" s="3" t="s">
        <v>34</v>
      </c>
      <c r="O46" s="3" t="n">
        <v>3</v>
      </c>
      <c r="P46" s="3" t="n">
        <v>10</v>
      </c>
    </row>
    <row r="47" customFormat="false" ht="15" hidden="false" customHeight="true" outlineLevel="0" collapsed="false">
      <c r="A47" s="4" t="s">
        <v>107</v>
      </c>
      <c r="B47" s="4" t="n">
        <v>58</v>
      </c>
      <c r="C47" s="4" t="s">
        <v>17</v>
      </c>
      <c r="D47" s="4" t="s">
        <v>36</v>
      </c>
      <c r="E47" s="4" t="s">
        <v>54</v>
      </c>
      <c r="F47" s="4" t="s">
        <v>20</v>
      </c>
      <c r="G47" s="4" t="s">
        <v>21</v>
      </c>
      <c r="H47" s="4" t="s">
        <v>63</v>
      </c>
      <c r="I47" s="4" t="s">
        <v>69</v>
      </c>
      <c r="J47" s="4" t="n">
        <v>1710</v>
      </c>
      <c r="K47" s="4" t="s">
        <v>70</v>
      </c>
      <c r="L47" s="4" t="n">
        <v>3</v>
      </c>
      <c r="M47" s="4" t="s">
        <v>25</v>
      </c>
      <c r="N47" s="4" t="s">
        <v>34</v>
      </c>
      <c r="O47" s="4" t="n">
        <v>1</v>
      </c>
      <c r="P47" s="4" t="n">
        <v>3</v>
      </c>
    </row>
    <row r="48" customFormat="false" ht="15" hidden="false" customHeight="true" outlineLevel="0" collapsed="false">
      <c r="A48" s="3" t="s">
        <v>108</v>
      </c>
      <c r="B48" s="3"/>
      <c r="C48" s="3"/>
      <c r="D48" s="3" t="s">
        <v>48</v>
      </c>
      <c r="E48" s="3" t="s">
        <v>30</v>
      </c>
      <c r="F48" s="3" t="s">
        <v>58</v>
      </c>
      <c r="G48" s="3" t="s">
        <v>21</v>
      </c>
      <c r="H48" s="3" t="s">
        <v>63</v>
      </c>
      <c r="I48" s="3" t="s">
        <v>23</v>
      </c>
      <c r="J48" s="3" t="n">
        <v>18228</v>
      </c>
      <c r="K48" s="3" t="s">
        <v>70</v>
      </c>
      <c r="L48" s="3" t="n">
        <v>5</v>
      </c>
      <c r="M48" s="3" t="s">
        <v>25</v>
      </c>
      <c r="N48" s="3" t="s">
        <v>84</v>
      </c>
      <c r="O48" s="3" t="n">
        <v>2</v>
      </c>
      <c r="P48" s="3" t="n">
        <v>10</v>
      </c>
    </row>
    <row r="49" customFormat="false" ht="15" hidden="false" customHeight="true" outlineLevel="0" collapsed="false">
      <c r="A49" s="4" t="s">
        <v>109</v>
      </c>
      <c r="B49" s="4" t="n">
        <v>49</v>
      </c>
      <c r="C49" s="4" t="s">
        <v>28</v>
      </c>
      <c r="D49" s="4" t="s">
        <v>65</v>
      </c>
      <c r="E49" s="4" t="s">
        <v>37</v>
      </c>
      <c r="F49" s="4"/>
      <c r="G49" s="4" t="s">
        <v>21</v>
      </c>
      <c r="H49" s="4" t="s">
        <v>63</v>
      </c>
      <c r="I49" s="4" t="s">
        <v>32</v>
      </c>
      <c r="J49" s="4" t="n">
        <v>26681</v>
      </c>
      <c r="K49" s="4" t="s">
        <v>70</v>
      </c>
      <c r="L49" s="4" t="n">
        <v>2</v>
      </c>
      <c r="M49" s="4" t="s">
        <v>46</v>
      </c>
      <c r="N49" s="4" t="s">
        <v>34</v>
      </c>
      <c r="O49" s="4" t="n">
        <v>4</v>
      </c>
      <c r="P49" s="4" t="n">
        <v>2</v>
      </c>
    </row>
    <row r="50" customFormat="false" ht="15" hidden="false" customHeight="true" outlineLevel="0" collapsed="false">
      <c r="A50" s="3" t="s">
        <v>110</v>
      </c>
      <c r="B50" s="3" t="n">
        <v>45</v>
      </c>
      <c r="C50" s="3" t="s">
        <v>17</v>
      </c>
      <c r="D50" s="3" t="s">
        <v>29</v>
      </c>
      <c r="E50" s="3" t="s">
        <v>30</v>
      </c>
      <c r="F50" s="3" t="s">
        <v>20</v>
      </c>
      <c r="G50" s="3" t="s">
        <v>21</v>
      </c>
      <c r="H50" s="3" t="s">
        <v>68</v>
      </c>
      <c r="I50" s="3" t="s">
        <v>69</v>
      </c>
      <c r="J50" s="3" t="n">
        <v>1521</v>
      </c>
      <c r="K50" s="3" t="s">
        <v>24</v>
      </c>
      <c r="L50" s="3" t="n">
        <v>4</v>
      </c>
      <c r="M50" s="3" t="s">
        <v>41</v>
      </c>
      <c r="N50" s="3" t="s">
        <v>84</v>
      </c>
      <c r="O50" s="3" t="n">
        <v>2</v>
      </c>
      <c r="P50" s="3" t="n">
        <v>3</v>
      </c>
    </row>
    <row r="51" customFormat="false" ht="15" hidden="false" customHeight="true" outlineLevel="0" collapsed="false">
      <c r="A51" s="4" t="s">
        <v>111</v>
      </c>
      <c r="B51" s="4" t="n">
        <v>30</v>
      </c>
      <c r="C51" s="4" t="s">
        <v>17</v>
      </c>
      <c r="D51" s="4" t="s">
        <v>18</v>
      </c>
      <c r="E51" s="4" t="s">
        <v>19</v>
      </c>
      <c r="F51" s="4" t="s">
        <v>45</v>
      </c>
      <c r="G51" s="4" t="s">
        <v>21</v>
      </c>
      <c r="H51" s="4" t="s">
        <v>68</v>
      </c>
      <c r="I51" s="4" t="s">
        <v>69</v>
      </c>
      <c r="J51" s="4" t="n">
        <v>7775</v>
      </c>
      <c r="K51" s="4" t="s">
        <v>33</v>
      </c>
      <c r="L51" s="4"/>
      <c r="M51" s="4" t="s">
        <v>41</v>
      </c>
      <c r="N51" s="4" t="s">
        <v>71</v>
      </c>
      <c r="O51" s="4" t="n">
        <v>4</v>
      </c>
      <c r="P51" s="4" t="n">
        <v>5</v>
      </c>
    </row>
    <row r="52" customFormat="false" ht="15" hidden="false" customHeight="true" outlineLevel="0" collapsed="false">
      <c r="A52" s="3" t="s">
        <v>112</v>
      </c>
      <c r="B52" s="3" t="n">
        <v>60</v>
      </c>
      <c r="C52" s="3" t="s">
        <v>28</v>
      </c>
      <c r="D52" s="3" t="s">
        <v>65</v>
      </c>
      <c r="E52" s="3" t="s">
        <v>37</v>
      </c>
      <c r="F52" s="3" t="s">
        <v>50</v>
      </c>
      <c r="G52" s="3" t="s">
        <v>51</v>
      </c>
      <c r="H52" s="3"/>
      <c r="I52" s="3"/>
      <c r="J52" s="3"/>
      <c r="K52" s="3"/>
      <c r="L52" s="3" t="n">
        <v>2</v>
      </c>
      <c r="M52" s="3" t="s">
        <v>25</v>
      </c>
      <c r="N52" s="3" t="s">
        <v>26</v>
      </c>
      <c r="O52" s="3" t="n">
        <v>5</v>
      </c>
      <c r="P52" s="3" t="n">
        <v>5</v>
      </c>
    </row>
    <row r="53" customFormat="false" ht="15" hidden="false" customHeight="true" outlineLevel="0" collapsed="false">
      <c r="A53" s="4" t="s">
        <v>113</v>
      </c>
      <c r="B53" s="4" t="n">
        <v>19</v>
      </c>
      <c r="C53" s="4" t="s">
        <v>17</v>
      </c>
      <c r="D53" s="4" t="s">
        <v>114</v>
      </c>
      <c r="E53" s="4" t="s">
        <v>54</v>
      </c>
      <c r="F53" s="4" t="s">
        <v>50</v>
      </c>
      <c r="G53" s="4" t="s">
        <v>21</v>
      </c>
      <c r="H53" s="4" t="s">
        <v>56</v>
      </c>
      <c r="I53" s="4" t="s">
        <v>32</v>
      </c>
      <c r="J53" s="4" t="n">
        <v>5354</v>
      </c>
      <c r="K53" s="4" t="s">
        <v>24</v>
      </c>
      <c r="L53" s="4" t="n">
        <v>4</v>
      </c>
      <c r="M53" s="4" t="s">
        <v>25</v>
      </c>
      <c r="N53" s="4" t="s">
        <v>84</v>
      </c>
      <c r="O53" s="4" t="n">
        <v>5</v>
      </c>
      <c r="P53" s="4" t="n">
        <v>7</v>
      </c>
    </row>
    <row r="54" customFormat="false" ht="15" hidden="false" customHeight="true" outlineLevel="0" collapsed="false">
      <c r="A54" s="3" t="s">
        <v>115</v>
      </c>
      <c r="B54" s="3"/>
      <c r="C54" s="3" t="s">
        <v>28</v>
      </c>
      <c r="D54" s="3" t="s">
        <v>114</v>
      </c>
      <c r="E54" s="3" t="s">
        <v>30</v>
      </c>
      <c r="F54" s="3" t="s">
        <v>45</v>
      </c>
      <c r="G54" s="3" t="s">
        <v>51</v>
      </c>
      <c r="H54" s="3"/>
      <c r="I54" s="3"/>
      <c r="J54" s="3"/>
      <c r="K54" s="3"/>
      <c r="L54" s="3" t="n">
        <v>2</v>
      </c>
      <c r="M54" s="3" t="s">
        <v>41</v>
      </c>
      <c r="N54" s="3" t="s">
        <v>34</v>
      </c>
      <c r="O54" s="3" t="n">
        <v>3</v>
      </c>
      <c r="P54" s="3" t="n">
        <v>4</v>
      </c>
    </row>
    <row r="55" customFormat="false" ht="15" hidden="false" customHeight="true" outlineLevel="0" collapsed="false">
      <c r="A55" s="4" t="s">
        <v>116</v>
      </c>
      <c r="B55" s="4" t="n">
        <v>56</v>
      </c>
      <c r="C55" s="4" t="s">
        <v>28</v>
      </c>
      <c r="D55" s="4" t="s">
        <v>48</v>
      </c>
      <c r="E55" s="4" t="s">
        <v>49</v>
      </c>
      <c r="F55" s="4" t="s">
        <v>38</v>
      </c>
      <c r="G55" s="4" t="s">
        <v>51</v>
      </c>
      <c r="H55" s="4"/>
      <c r="I55" s="4"/>
      <c r="J55" s="4"/>
      <c r="K55" s="4"/>
      <c r="L55" s="4" t="n">
        <v>3</v>
      </c>
      <c r="M55" s="4" t="s">
        <v>25</v>
      </c>
      <c r="N55" s="4" t="s">
        <v>34</v>
      </c>
      <c r="O55" s="4" t="n">
        <v>3</v>
      </c>
      <c r="P55" s="4" t="n">
        <v>2</v>
      </c>
    </row>
    <row r="56" customFormat="false" ht="15" hidden="false" customHeight="true" outlineLevel="0" collapsed="false">
      <c r="A56" s="3" t="s">
        <v>117</v>
      </c>
      <c r="B56" s="3" t="n">
        <v>47</v>
      </c>
      <c r="C56" s="3" t="s">
        <v>17</v>
      </c>
      <c r="D56" s="3" t="s">
        <v>79</v>
      </c>
      <c r="E56" s="3" t="s">
        <v>54</v>
      </c>
      <c r="F56" s="3" t="s">
        <v>38</v>
      </c>
      <c r="G56" s="3" t="s">
        <v>21</v>
      </c>
      <c r="H56" s="3" t="s">
        <v>56</v>
      </c>
      <c r="I56" s="3" t="s">
        <v>32</v>
      </c>
      <c r="J56" s="3" t="n">
        <v>307</v>
      </c>
      <c r="K56" s="3" t="s">
        <v>70</v>
      </c>
      <c r="L56" s="3" t="n">
        <v>4</v>
      </c>
      <c r="M56" s="3" t="s">
        <v>41</v>
      </c>
      <c r="N56" s="3" t="s">
        <v>34</v>
      </c>
      <c r="O56" s="3" t="n">
        <v>4</v>
      </c>
      <c r="P56" s="3" t="n">
        <v>3</v>
      </c>
    </row>
    <row r="57" customFormat="false" ht="15" hidden="false" customHeight="true" outlineLevel="0" collapsed="false">
      <c r="A57" s="4" t="s">
        <v>118</v>
      </c>
      <c r="B57" s="4" t="n">
        <v>60</v>
      </c>
      <c r="C57" s="4" t="s">
        <v>17</v>
      </c>
      <c r="D57" s="4" t="s">
        <v>79</v>
      </c>
      <c r="E57" s="4" t="s">
        <v>44</v>
      </c>
      <c r="F57" s="4" t="s">
        <v>50</v>
      </c>
      <c r="G57" s="4" t="s">
        <v>21</v>
      </c>
      <c r="H57" s="4" t="s">
        <v>66</v>
      </c>
      <c r="I57" s="4" t="s">
        <v>40</v>
      </c>
      <c r="J57" s="4" t="n">
        <v>6490</v>
      </c>
      <c r="K57" s="4" t="s">
        <v>24</v>
      </c>
      <c r="L57" s="4" t="n">
        <v>5</v>
      </c>
      <c r="M57" s="4" t="s">
        <v>46</v>
      </c>
      <c r="N57" s="4" t="s">
        <v>84</v>
      </c>
      <c r="O57" s="4" t="n">
        <v>2</v>
      </c>
      <c r="P57" s="4" t="n">
        <v>8</v>
      </c>
    </row>
    <row r="58" customFormat="false" ht="15" hidden="false" customHeight="true" outlineLevel="0" collapsed="false">
      <c r="A58" s="3" t="s">
        <v>119</v>
      </c>
      <c r="B58" s="3" t="n">
        <v>30</v>
      </c>
      <c r="C58" s="3" t="s">
        <v>28</v>
      </c>
      <c r="D58" s="3" t="s">
        <v>62</v>
      </c>
      <c r="E58" s="3" t="s">
        <v>54</v>
      </c>
      <c r="F58" s="3" t="s">
        <v>45</v>
      </c>
      <c r="G58" s="3" t="s">
        <v>21</v>
      </c>
      <c r="H58" s="3" t="s">
        <v>66</v>
      </c>
      <c r="I58" s="3" t="s">
        <v>60</v>
      </c>
      <c r="J58" s="3" t="n">
        <v>7346</v>
      </c>
      <c r="K58" s="3" t="s">
        <v>70</v>
      </c>
      <c r="L58" s="3" t="n">
        <v>3</v>
      </c>
      <c r="M58" s="3" t="s">
        <v>41</v>
      </c>
      <c r="N58" s="3" t="s">
        <v>34</v>
      </c>
      <c r="O58" s="3" t="n">
        <v>1</v>
      </c>
      <c r="P58" s="3" t="n">
        <v>7</v>
      </c>
    </row>
    <row r="59" customFormat="false" ht="15" hidden="false" customHeight="true" outlineLevel="0" collapsed="false">
      <c r="A59" s="4" t="s">
        <v>120</v>
      </c>
      <c r="B59" s="4" t="n">
        <v>51</v>
      </c>
      <c r="C59" s="4" t="s">
        <v>28</v>
      </c>
      <c r="D59" s="4" t="s">
        <v>29</v>
      </c>
      <c r="E59" s="4" t="s">
        <v>37</v>
      </c>
      <c r="F59" s="4" t="s">
        <v>20</v>
      </c>
      <c r="G59" s="4" t="s">
        <v>21</v>
      </c>
      <c r="H59" s="4" t="s">
        <v>68</v>
      </c>
      <c r="I59" s="4" t="s">
        <v>69</v>
      </c>
      <c r="J59" s="4" t="n">
        <v>1394</v>
      </c>
      <c r="K59" s="4" t="s">
        <v>70</v>
      </c>
      <c r="L59" s="4" t="n">
        <v>3</v>
      </c>
      <c r="M59" s="4" t="s">
        <v>46</v>
      </c>
      <c r="N59" s="4" t="s">
        <v>71</v>
      </c>
      <c r="O59" s="4" t="n">
        <v>5</v>
      </c>
      <c r="P59" s="4" t="n">
        <v>10</v>
      </c>
    </row>
    <row r="60" customFormat="false" ht="15" hidden="false" customHeight="true" outlineLevel="0" collapsed="false">
      <c r="A60" s="3" t="s">
        <v>121</v>
      </c>
      <c r="B60" s="3" t="n">
        <v>25</v>
      </c>
      <c r="C60" s="3" t="s">
        <v>28</v>
      </c>
      <c r="D60" s="3" t="s">
        <v>65</v>
      </c>
      <c r="E60" s="3" t="s">
        <v>54</v>
      </c>
      <c r="F60" s="3" t="s">
        <v>58</v>
      </c>
      <c r="G60" s="3" t="s">
        <v>51</v>
      </c>
      <c r="H60" s="3"/>
      <c r="I60" s="3"/>
      <c r="J60" s="3"/>
      <c r="K60" s="3"/>
      <c r="L60" s="3" t="n">
        <v>1</v>
      </c>
      <c r="M60" s="3" t="s">
        <v>25</v>
      </c>
      <c r="N60" s="3" t="s">
        <v>26</v>
      </c>
      <c r="O60" s="3" t="n">
        <v>2</v>
      </c>
      <c r="P60" s="3" t="n">
        <v>7</v>
      </c>
    </row>
    <row r="61" customFormat="false" ht="15" hidden="false" customHeight="true" outlineLevel="0" collapsed="false">
      <c r="A61" s="4" t="s">
        <v>122</v>
      </c>
      <c r="B61" s="4" t="n">
        <v>25</v>
      </c>
      <c r="C61" s="4" t="s">
        <v>17</v>
      </c>
      <c r="D61" s="4" t="s">
        <v>18</v>
      </c>
      <c r="E61" s="4" t="s">
        <v>44</v>
      </c>
      <c r="F61" s="4" t="s">
        <v>20</v>
      </c>
      <c r="G61" s="4" t="s">
        <v>21</v>
      </c>
      <c r="H61" s="4" t="s">
        <v>63</v>
      </c>
      <c r="I61" s="4" t="s">
        <v>69</v>
      </c>
      <c r="J61" s="4" t="n">
        <v>2767</v>
      </c>
      <c r="K61" s="4" t="s">
        <v>33</v>
      </c>
      <c r="L61" s="4" t="n">
        <v>1</v>
      </c>
      <c r="M61" s="4" t="s">
        <v>41</v>
      </c>
      <c r="N61" s="4" t="s">
        <v>34</v>
      </c>
      <c r="O61" s="4" t="n">
        <v>2</v>
      </c>
      <c r="P61" s="4" t="n">
        <v>7</v>
      </c>
    </row>
    <row r="62" customFormat="false" ht="15" hidden="false" customHeight="true" outlineLevel="0" collapsed="false">
      <c r="A62" s="3" t="s">
        <v>123</v>
      </c>
      <c r="B62" s="3" t="n">
        <v>60</v>
      </c>
      <c r="C62" s="3" t="s">
        <v>28</v>
      </c>
      <c r="D62" s="3" t="s">
        <v>29</v>
      </c>
      <c r="E62" s="3" t="s">
        <v>49</v>
      </c>
      <c r="F62" s="3" t="s">
        <v>58</v>
      </c>
      <c r="G62" s="3" t="s">
        <v>21</v>
      </c>
      <c r="H62" s="3" t="s">
        <v>56</v>
      </c>
      <c r="I62" s="3" t="s">
        <v>69</v>
      </c>
      <c r="J62" s="3" t="n">
        <v>9887</v>
      </c>
      <c r="K62" s="3" t="s">
        <v>24</v>
      </c>
      <c r="L62" s="3" t="n">
        <v>5</v>
      </c>
      <c r="M62" s="3" t="s">
        <v>25</v>
      </c>
      <c r="N62" s="3" t="s">
        <v>34</v>
      </c>
      <c r="O62" s="3" t="n">
        <v>2</v>
      </c>
      <c r="P62" s="3" t="n">
        <v>4</v>
      </c>
    </row>
    <row r="63" customFormat="false" ht="15" hidden="false" customHeight="true" outlineLevel="0" collapsed="false">
      <c r="A63" s="4" t="s">
        <v>124</v>
      </c>
      <c r="B63" s="4" t="n">
        <v>38</v>
      </c>
      <c r="C63" s="4"/>
      <c r="D63" s="4" t="s">
        <v>65</v>
      </c>
      <c r="E63" s="4" t="s">
        <v>54</v>
      </c>
      <c r="F63" s="4" t="s">
        <v>45</v>
      </c>
      <c r="G63" s="4" t="s">
        <v>21</v>
      </c>
      <c r="H63" s="4" t="s">
        <v>66</v>
      </c>
      <c r="I63" s="4" t="s">
        <v>60</v>
      </c>
      <c r="J63" s="4" t="n">
        <v>12728</v>
      </c>
      <c r="K63" s="4" t="s">
        <v>24</v>
      </c>
      <c r="L63" s="4" t="n">
        <v>5</v>
      </c>
      <c r="M63" s="4" t="s">
        <v>46</v>
      </c>
      <c r="N63" s="4" t="s">
        <v>34</v>
      </c>
      <c r="O63" s="4" t="n">
        <v>1</v>
      </c>
      <c r="P63" s="4" t="n">
        <v>9</v>
      </c>
    </row>
    <row r="64" customFormat="false" ht="15" hidden="false" customHeight="true" outlineLevel="0" collapsed="false">
      <c r="A64" s="3" t="s">
        <v>125</v>
      </c>
      <c r="B64" s="3" t="n">
        <v>33</v>
      </c>
      <c r="C64" s="3" t="s">
        <v>28</v>
      </c>
      <c r="D64" s="3" t="s">
        <v>79</v>
      </c>
      <c r="E64" s="3" t="s">
        <v>44</v>
      </c>
      <c r="F64" s="3" t="s">
        <v>45</v>
      </c>
      <c r="G64" s="3" t="s">
        <v>21</v>
      </c>
      <c r="H64" s="3" t="s">
        <v>31</v>
      </c>
      <c r="I64" s="3" t="s">
        <v>69</v>
      </c>
      <c r="J64" s="3"/>
      <c r="K64" s="3" t="s">
        <v>33</v>
      </c>
      <c r="L64" s="3" t="n">
        <v>4</v>
      </c>
      <c r="M64" s="3" t="s">
        <v>25</v>
      </c>
      <c r="N64" s="3" t="s">
        <v>34</v>
      </c>
      <c r="O64" s="3" t="n">
        <v>1</v>
      </c>
      <c r="P64" s="3" t="n">
        <v>7</v>
      </c>
    </row>
    <row r="65" customFormat="false" ht="15" hidden="false" customHeight="true" outlineLevel="0" collapsed="false">
      <c r="A65" s="4" t="s">
        <v>126</v>
      </c>
      <c r="B65" s="4" t="n">
        <v>25</v>
      </c>
      <c r="C65" s="4" t="s">
        <v>28</v>
      </c>
      <c r="D65" s="4" t="s">
        <v>62</v>
      </c>
      <c r="E65" s="4" t="s">
        <v>19</v>
      </c>
      <c r="F65" s="4" t="s">
        <v>50</v>
      </c>
      <c r="G65" s="4" t="s">
        <v>21</v>
      </c>
      <c r="H65" s="4" t="s">
        <v>22</v>
      </c>
      <c r="I65" s="4" t="s">
        <v>40</v>
      </c>
      <c r="J65" s="4"/>
      <c r="K65" s="4" t="s">
        <v>24</v>
      </c>
      <c r="L65" s="4" t="n">
        <v>4</v>
      </c>
      <c r="M65" s="4" t="s">
        <v>25</v>
      </c>
      <c r="N65" s="4" t="s">
        <v>34</v>
      </c>
      <c r="O65" s="4" t="n">
        <v>3</v>
      </c>
      <c r="P65" s="4" t="n">
        <v>7</v>
      </c>
    </row>
    <row r="66" customFormat="false" ht="15" hidden="false" customHeight="true" outlineLevel="0" collapsed="false">
      <c r="A66" s="3" t="s">
        <v>127</v>
      </c>
      <c r="B66" s="3" t="n">
        <v>19</v>
      </c>
      <c r="C66" s="3" t="s">
        <v>17</v>
      </c>
      <c r="D66" s="3" t="s">
        <v>43</v>
      </c>
      <c r="E66" s="3" t="s">
        <v>30</v>
      </c>
      <c r="F66" s="3" t="s">
        <v>58</v>
      </c>
      <c r="G66" s="3" t="s">
        <v>21</v>
      </c>
      <c r="H66" s="3" t="s">
        <v>39</v>
      </c>
      <c r="I66" s="3" t="s">
        <v>23</v>
      </c>
      <c r="J66" s="3" t="n">
        <v>27936</v>
      </c>
      <c r="K66" s="3" t="s">
        <v>33</v>
      </c>
      <c r="L66" s="3" t="n">
        <v>5</v>
      </c>
      <c r="M66" s="3" t="s">
        <v>41</v>
      </c>
      <c r="N66" s="3" t="s">
        <v>26</v>
      </c>
      <c r="O66" s="3" t="n">
        <v>3</v>
      </c>
      <c r="P66" s="3" t="n">
        <v>6</v>
      </c>
    </row>
    <row r="67" customFormat="false" ht="15" hidden="false" customHeight="true" outlineLevel="0" collapsed="false">
      <c r="A67" s="4" t="s">
        <v>128</v>
      </c>
      <c r="B67" s="4" t="n">
        <v>50</v>
      </c>
      <c r="C67" s="4" t="s">
        <v>17</v>
      </c>
      <c r="D67" s="4" t="s">
        <v>48</v>
      </c>
      <c r="E67" s="4" t="s">
        <v>30</v>
      </c>
      <c r="F67" s="4" t="s">
        <v>38</v>
      </c>
      <c r="G67" s="4" t="s">
        <v>21</v>
      </c>
      <c r="H67" s="4" t="s">
        <v>31</v>
      </c>
      <c r="I67" s="4" t="s">
        <v>69</v>
      </c>
      <c r="J67" s="4" t="n">
        <v>598</v>
      </c>
      <c r="K67" s="4" t="s">
        <v>33</v>
      </c>
      <c r="L67" s="4" t="n">
        <v>5</v>
      </c>
      <c r="M67" s="4" t="s">
        <v>25</v>
      </c>
      <c r="N67" s="4" t="s">
        <v>34</v>
      </c>
      <c r="O67" s="4" t="n">
        <v>5</v>
      </c>
      <c r="P67" s="4" t="n">
        <v>5</v>
      </c>
    </row>
    <row r="68" customFormat="false" ht="15" hidden="false" customHeight="true" outlineLevel="0" collapsed="false">
      <c r="A68" s="3" t="s">
        <v>129</v>
      </c>
      <c r="B68" s="3" t="n">
        <v>18</v>
      </c>
      <c r="C68" s="3" t="s">
        <v>17</v>
      </c>
      <c r="D68" s="3" t="s">
        <v>114</v>
      </c>
      <c r="E68" s="3" t="s">
        <v>19</v>
      </c>
      <c r="F68" s="3" t="s">
        <v>58</v>
      </c>
      <c r="G68" s="3" t="s">
        <v>21</v>
      </c>
      <c r="H68" s="3" t="s">
        <v>63</v>
      </c>
      <c r="I68" s="3" t="s">
        <v>40</v>
      </c>
      <c r="J68" s="3" t="n">
        <v>23347</v>
      </c>
      <c r="K68" s="3" t="s">
        <v>70</v>
      </c>
      <c r="L68" s="3" t="n">
        <v>5</v>
      </c>
      <c r="M68" s="3" t="s">
        <v>25</v>
      </c>
      <c r="N68" s="3" t="s">
        <v>34</v>
      </c>
      <c r="O68" s="3" t="n">
        <v>5</v>
      </c>
      <c r="P68" s="3" t="n">
        <v>7</v>
      </c>
    </row>
    <row r="69" customFormat="false" ht="15" hidden="false" customHeight="true" outlineLevel="0" collapsed="false">
      <c r="A69" s="4" t="s">
        <v>130</v>
      </c>
      <c r="B69" s="4" t="n">
        <v>40</v>
      </c>
      <c r="C69" s="4" t="s">
        <v>28</v>
      </c>
      <c r="D69" s="4" t="s">
        <v>18</v>
      </c>
      <c r="E69" s="4" t="s">
        <v>49</v>
      </c>
      <c r="F69" s="4" t="s">
        <v>38</v>
      </c>
      <c r="G69" s="4" t="s">
        <v>21</v>
      </c>
      <c r="H69" s="4" t="s">
        <v>22</v>
      </c>
      <c r="I69" s="4" t="s">
        <v>60</v>
      </c>
      <c r="J69" s="4" t="n">
        <v>453</v>
      </c>
      <c r="K69" s="4" t="s">
        <v>24</v>
      </c>
      <c r="L69" s="4" t="n">
        <v>5</v>
      </c>
      <c r="M69" s="4" t="s">
        <v>46</v>
      </c>
      <c r="N69" s="4" t="s">
        <v>34</v>
      </c>
      <c r="O69" s="4" t="n">
        <v>5</v>
      </c>
      <c r="P69" s="4" t="n">
        <v>3</v>
      </c>
    </row>
    <row r="70" customFormat="false" ht="15" hidden="false" customHeight="true" outlineLevel="0" collapsed="false">
      <c r="A70" s="3" t="s">
        <v>131</v>
      </c>
      <c r="B70" s="3" t="n">
        <v>60</v>
      </c>
      <c r="C70" s="3" t="s">
        <v>17</v>
      </c>
      <c r="D70" s="3" t="s">
        <v>65</v>
      </c>
      <c r="E70" s="3" t="s">
        <v>19</v>
      </c>
      <c r="F70" s="3" t="s">
        <v>20</v>
      </c>
      <c r="G70" s="3" t="s">
        <v>21</v>
      </c>
      <c r="H70" s="3" t="s">
        <v>66</v>
      </c>
      <c r="I70" s="3"/>
      <c r="J70" s="3" t="n">
        <v>3723</v>
      </c>
      <c r="K70" s="3" t="s">
        <v>24</v>
      </c>
      <c r="L70" s="3" t="n">
        <v>4</v>
      </c>
      <c r="M70" s="3" t="s">
        <v>46</v>
      </c>
      <c r="N70" s="3" t="s">
        <v>34</v>
      </c>
      <c r="O70" s="3" t="n">
        <v>1</v>
      </c>
      <c r="P70" s="3" t="n">
        <v>1</v>
      </c>
    </row>
    <row r="71" customFormat="false" ht="15" hidden="false" customHeight="true" outlineLevel="0" collapsed="false">
      <c r="A71" s="4" t="s">
        <v>132</v>
      </c>
      <c r="B71" s="4" t="n">
        <v>48</v>
      </c>
      <c r="C71" s="4" t="s">
        <v>28</v>
      </c>
      <c r="D71" s="4" t="s">
        <v>18</v>
      </c>
      <c r="E71" s="4" t="s">
        <v>54</v>
      </c>
      <c r="F71" s="4"/>
      <c r="G71" s="4" t="s">
        <v>21</v>
      </c>
      <c r="H71" s="4" t="s">
        <v>56</v>
      </c>
      <c r="I71" s="4" t="s">
        <v>23</v>
      </c>
      <c r="J71" s="4" t="n">
        <v>3398</v>
      </c>
      <c r="K71" s="4" t="s">
        <v>33</v>
      </c>
      <c r="L71" s="4" t="n">
        <v>3</v>
      </c>
      <c r="M71" s="4" t="s">
        <v>25</v>
      </c>
      <c r="N71" s="4" t="s">
        <v>84</v>
      </c>
      <c r="O71" s="4" t="n">
        <v>1</v>
      </c>
      <c r="P71" s="4" t="n">
        <v>4</v>
      </c>
    </row>
    <row r="72" customFormat="false" ht="15" hidden="false" customHeight="true" outlineLevel="0" collapsed="false">
      <c r="A72" s="3" t="s">
        <v>133</v>
      </c>
      <c r="B72" s="3" t="n">
        <v>56</v>
      </c>
      <c r="C72" s="3" t="s">
        <v>28</v>
      </c>
      <c r="D72" s="3" t="s">
        <v>43</v>
      </c>
      <c r="E72" s="3" t="s">
        <v>30</v>
      </c>
      <c r="F72" s="3" t="s">
        <v>58</v>
      </c>
      <c r="G72" s="3" t="s">
        <v>51</v>
      </c>
      <c r="H72" s="3"/>
      <c r="I72" s="3"/>
      <c r="J72" s="3"/>
      <c r="K72" s="3"/>
      <c r="L72" s="3" t="n">
        <v>2</v>
      </c>
      <c r="M72" s="3" t="s">
        <v>46</v>
      </c>
      <c r="N72" s="3" t="s">
        <v>34</v>
      </c>
      <c r="O72" s="3" t="n">
        <v>3</v>
      </c>
      <c r="P72" s="3" t="n">
        <v>4</v>
      </c>
    </row>
    <row r="73" customFormat="false" ht="15" hidden="false" customHeight="true" outlineLevel="0" collapsed="false">
      <c r="A73" s="4" t="s">
        <v>134</v>
      </c>
      <c r="B73" s="4" t="n">
        <v>32</v>
      </c>
      <c r="C73" s="4" t="s">
        <v>17</v>
      </c>
      <c r="D73" s="4" t="s">
        <v>53</v>
      </c>
      <c r="E73" s="4" t="s">
        <v>54</v>
      </c>
      <c r="F73" s="4" t="s">
        <v>38</v>
      </c>
      <c r="G73" s="4" t="s">
        <v>51</v>
      </c>
      <c r="H73" s="4"/>
      <c r="I73" s="4"/>
      <c r="J73" s="4"/>
      <c r="K73" s="4"/>
      <c r="L73" s="4" t="n">
        <v>1</v>
      </c>
      <c r="M73" s="4" t="s">
        <v>46</v>
      </c>
      <c r="N73" s="4" t="s">
        <v>26</v>
      </c>
      <c r="O73" s="4" t="n">
        <v>4</v>
      </c>
      <c r="P73" s="4" t="n">
        <v>4</v>
      </c>
    </row>
    <row r="74" customFormat="false" ht="15" hidden="false" customHeight="true" outlineLevel="0" collapsed="false">
      <c r="A74" s="3" t="s">
        <v>135</v>
      </c>
      <c r="B74" s="3"/>
      <c r="C74" s="3" t="s">
        <v>28</v>
      </c>
      <c r="D74" s="3" t="s">
        <v>62</v>
      </c>
      <c r="E74" s="3" t="s">
        <v>54</v>
      </c>
      <c r="F74" s="3" t="s">
        <v>38</v>
      </c>
      <c r="G74" s="3" t="s">
        <v>51</v>
      </c>
      <c r="H74" s="3"/>
      <c r="I74" s="3"/>
      <c r="J74" s="3"/>
      <c r="K74" s="3"/>
      <c r="L74" s="3" t="n">
        <v>1</v>
      </c>
      <c r="M74" s="3" t="s">
        <v>25</v>
      </c>
      <c r="N74" s="3" t="s">
        <v>71</v>
      </c>
      <c r="O74" s="3" t="n">
        <v>3</v>
      </c>
      <c r="P74" s="3" t="n">
        <v>6</v>
      </c>
    </row>
    <row r="75" customFormat="false" ht="15" hidden="false" customHeight="true" outlineLevel="0" collapsed="false">
      <c r="A75" s="4" t="s">
        <v>136</v>
      </c>
      <c r="B75" s="4" t="n">
        <v>52</v>
      </c>
      <c r="C75" s="4" t="s">
        <v>17</v>
      </c>
      <c r="D75" s="4" t="s">
        <v>79</v>
      </c>
      <c r="E75" s="4" t="s">
        <v>30</v>
      </c>
      <c r="F75" s="4" t="s">
        <v>45</v>
      </c>
      <c r="G75" s="4" t="s">
        <v>21</v>
      </c>
      <c r="H75" s="4" t="s">
        <v>63</v>
      </c>
      <c r="I75" s="4" t="s">
        <v>32</v>
      </c>
      <c r="J75" s="4" t="n">
        <v>3389</v>
      </c>
      <c r="K75" s="4" t="s">
        <v>33</v>
      </c>
      <c r="L75" s="4" t="n">
        <v>3</v>
      </c>
      <c r="M75" s="4" t="s">
        <v>41</v>
      </c>
      <c r="N75" s="4" t="s">
        <v>34</v>
      </c>
      <c r="O75" s="4" t="n">
        <v>1</v>
      </c>
      <c r="P75" s="4" t="n">
        <v>1</v>
      </c>
    </row>
    <row r="76" customFormat="false" ht="15" hidden="false" customHeight="true" outlineLevel="0" collapsed="false">
      <c r="A76" s="3" t="s">
        <v>137</v>
      </c>
      <c r="B76" s="3"/>
      <c r="C76" s="3" t="s">
        <v>28</v>
      </c>
      <c r="D76" s="3" t="s">
        <v>43</v>
      </c>
      <c r="E76" s="3" t="s">
        <v>37</v>
      </c>
      <c r="F76" s="3" t="s">
        <v>45</v>
      </c>
      <c r="G76" s="3" t="s">
        <v>21</v>
      </c>
      <c r="H76" s="3" t="s">
        <v>68</v>
      </c>
      <c r="I76" s="3" t="s">
        <v>69</v>
      </c>
      <c r="J76" s="3" t="n">
        <v>12267</v>
      </c>
      <c r="K76" s="3" t="s">
        <v>24</v>
      </c>
      <c r="L76" s="3" t="n">
        <v>3</v>
      </c>
      <c r="M76" s="3" t="s">
        <v>25</v>
      </c>
      <c r="N76" s="3" t="s">
        <v>71</v>
      </c>
      <c r="O76" s="3" t="n">
        <v>2</v>
      </c>
      <c r="P76" s="3" t="n">
        <v>1</v>
      </c>
    </row>
    <row r="77" customFormat="false" ht="15" hidden="false" customHeight="true" outlineLevel="0" collapsed="false">
      <c r="A77" s="4" t="s">
        <v>138</v>
      </c>
      <c r="B77" s="4" t="n">
        <v>60</v>
      </c>
      <c r="C77" s="4" t="s">
        <v>17</v>
      </c>
      <c r="D77" s="4" t="s">
        <v>43</v>
      </c>
      <c r="E77" s="4" t="s">
        <v>49</v>
      </c>
      <c r="F77" s="4" t="s">
        <v>58</v>
      </c>
      <c r="G77" s="4" t="s">
        <v>51</v>
      </c>
      <c r="H77" s="4"/>
      <c r="I77" s="4"/>
      <c r="J77" s="4"/>
      <c r="K77" s="4"/>
      <c r="L77" s="4" t="n">
        <v>1</v>
      </c>
      <c r="M77" s="4" t="s">
        <v>46</v>
      </c>
      <c r="N77" s="4" t="s">
        <v>34</v>
      </c>
      <c r="O77" s="4" t="n">
        <v>4</v>
      </c>
      <c r="P77" s="4" t="n">
        <v>9</v>
      </c>
    </row>
    <row r="78" customFormat="false" ht="15" hidden="false" customHeight="true" outlineLevel="0" collapsed="false">
      <c r="A78" s="3" t="s">
        <v>139</v>
      </c>
      <c r="B78" s="3" t="n">
        <v>36</v>
      </c>
      <c r="C78" s="3" t="s">
        <v>17</v>
      </c>
      <c r="D78" s="3" t="s">
        <v>53</v>
      </c>
      <c r="E78" s="3" t="s">
        <v>30</v>
      </c>
      <c r="F78" s="3" t="s">
        <v>38</v>
      </c>
      <c r="G78" s="3" t="s">
        <v>21</v>
      </c>
      <c r="H78" s="3" t="s">
        <v>31</v>
      </c>
      <c r="I78" s="3" t="s">
        <v>60</v>
      </c>
      <c r="J78" s="3" t="n">
        <v>359</v>
      </c>
      <c r="K78" s="3" t="s">
        <v>70</v>
      </c>
      <c r="L78" s="3" t="n">
        <v>3</v>
      </c>
      <c r="M78" s="3" t="s">
        <v>25</v>
      </c>
      <c r="N78" s="3" t="s">
        <v>34</v>
      </c>
      <c r="O78" s="3" t="n">
        <v>5</v>
      </c>
      <c r="P78" s="3" t="n">
        <v>9</v>
      </c>
    </row>
    <row r="79" customFormat="false" ht="15" hidden="false" customHeight="true" outlineLevel="0" collapsed="false">
      <c r="A79" s="4" t="s">
        <v>140</v>
      </c>
      <c r="B79" s="4" t="n">
        <v>26</v>
      </c>
      <c r="C79" s="4" t="s">
        <v>17</v>
      </c>
      <c r="D79" s="4" t="s">
        <v>114</v>
      </c>
      <c r="E79" s="4" t="s">
        <v>49</v>
      </c>
      <c r="F79" s="4" t="s">
        <v>20</v>
      </c>
      <c r="G79" s="4" t="s">
        <v>21</v>
      </c>
      <c r="H79" s="4" t="s">
        <v>39</v>
      </c>
      <c r="I79" s="4" t="s">
        <v>23</v>
      </c>
      <c r="J79" s="4" t="n">
        <v>2369</v>
      </c>
      <c r="K79" s="4" t="s">
        <v>24</v>
      </c>
      <c r="L79" s="4" t="n">
        <v>2</v>
      </c>
      <c r="M79" s="4" t="s">
        <v>46</v>
      </c>
      <c r="N79" s="4" t="s">
        <v>34</v>
      </c>
      <c r="O79" s="4" t="n">
        <v>5</v>
      </c>
      <c r="P79" s="4" t="n">
        <v>4</v>
      </c>
    </row>
    <row r="80" customFormat="false" ht="15" hidden="false" customHeight="true" outlineLevel="0" collapsed="false">
      <c r="A80" s="3" t="s">
        <v>141</v>
      </c>
      <c r="B80" s="3" t="n">
        <v>40</v>
      </c>
      <c r="C80" s="3" t="s">
        <v>28</v>
      </c>
      <c r="D80" s="3" t="s">
        <v>79</v>
      </c>
      <c r="E80" s="3" t="s">
        <v>19</v>
      </c>
      <c r="F80" s="3" t="s">
        <v>50</v>
      </c>
      <c r="G80" s="3" t="s">
        <v>51</v>
      </c>
      <c r="H80" s="3"/>
      <c r="I80" s="3"/>
      <c r="J80" s="3"/>
      <c r="K80" s="3"/>
      <c r="L80" s="3" t="n">
        <v>1</v>
      </c>
      <c r="M80" s="3" t="s">
        <v>41</v>
      </c>
      <c r="N80" s="3" t="s">
        <v>34</v>
      </c>
      <c r="O80" s="3" t="n">
        <v>2</v>
      </c>
      <c r="P80" s="3" t="n">
        <v>7</v>
      </c>
    </row>
    <row r="81" customFormat="false" ht="15" hidden="false" customHeight="true" outlineLevel="0" collapsed="false">
      <c r="A81" s="4" t="s">
        <v>142</v>
      </c>
      <c r="B81" s="4" t="n">
        <v>27</v>
      </c>
      <c r="C81" s="4" t="s">
        <v>17</v>
      </c>
      <c r="D81" s="4" t="s">
        <v>36</v>
      </c>
      <c r="E81" s="4" t="s">
        <v>49</v>
      </c>
      <c r="F81" s="4" t="s">
        <v>20</v>
      </c>
      <c r="G81" s="4" t="s">
        <v>51</v>
      </c>
      <c r="H81" s="4"/>
      <c r="I81" s="4"/>
      <c r="J81" s="4"/>
      <c r="K81" s="4"/>
      <c r="L81" s="4" t="n">
        <v>1</v>
      </c>
      <c r="M81" s="4" t="s">
        <v>25</v>
      </c>
      <c r="N81" s="4" t="s">
        <v>34</v>
      </c>
      <c r="O81" s="4" t="n">
        <v>2</v>
      </c>
      <c r="P81" s="4" t="n">
        <v>6</v>
      </c>
    </row>
    <row r="82" customFormat="false" ht="15" hidden="false" customHeight="true" outlineLevel="0" collapsed="false">
      <c r="A82" s="3" t="s">
        <v>143</v>
      </c>
      <c r="B82" s="3" t="n">
        <v>51</v>
      </c>
      <c r="C82" s="3" t="s">
        <v>28</v>
      </c>
      <c r="D82" s="3" t="s">
        <v>79</v>
      </c>
      <c r="E82" s="3" t="s">
        <v>19</v>
      </c>
      <c r="F82" s="3" t="s">
        <v>50</v>
      </c>
      <c r="G82" s="3" t="s">
        <v>21</v>
      </c>
      <c r="H82" s="3" t="s">
        <v>68</v>
      </c>
      <c r="I82" s="3" t="s">
        <v>32</v>
      </c>
      <c r="J82" s="3"/>
      <c r="K82" s="3" t="s">
        <v>70</v>
      </c>
      <c r="L82" s="3" t="n">
        <v>3</v>
      </c>
      <c r="M82" s="3" t="s">
        <v>25</v>
      </c>
      <c r="N82" s="3" t="s">
        <v>34</v>
      </c>
      <c r="O82" s="3" t="n">
        <v>3</v>
      </c>
      <c r="P82" s="3" t="n">
        <v>4</v>
      </c>
    </row>
    <row r="83" customFormat="false" ht="15" hidden="false" customHeight="true" outlineLevel="0" collapsed="false">
      <c r="A83" s="4" t="s">
        <v>144</v>
      </c>
      <c r="B83" s="4" t="n">
        <v>43</v>
      </c>
      <c r="C83" s="4" t="s">
        <v>28</v>
      </c>
      <c r="D83" s="4" t="s">
        <v>62</v>
      </c>
      <c r="E83" s="4" t="s">
        <v>37</v>
      </c>
      <c r="F83" s="4" t="s">
        <v>20</v>
      </c>
      <c r="G83" s="4" t="s">
        <v>21</v>
      </c>
      <c r="H83" s="4" t="s">
        <v>22</v>
      </c>
      <c r="I83" s="4" t="s">
        <v>23</v>
      </c>
      <c r="J83" s="4" t="n">
        <v>2045</v>
      </c>
      <c r="K83" s="4" t="s">
        <v>33</v>
      </c>
      <c r="L83" s="4" t="n">
        <v>1</v>
      </c>
      <c r="M83" s="4" t="s">
        <v>25</v>
      </c>
      <c r="N83" s="4" t="s">
        <v>34</v>
      </c>
      <c r="O83" s="4" t="n">
        <v>5</v>
      </c>
      <c r="P83" s="4" t="n">
        <v>2</v>
      </c>
    </row>
    <row r="84" customFormat="false" ht="15" hidden="false" customHeight="true" outlineLevel="0" collapsed="false">
      <c r="A84" s="3" t="s">
        <v>145</v>
      </c>
      <c r="B84" s="3" t="n">
        <v>55</v>
      </c>
      <c r="C84" s="3" t="s">
        <v>28</v>
      </c>
      <c r="D84" s="3" t="s">
        <v>43</v>
      </c>
      <c r="E84" s="3" t="s">
        <v>30</v>
      </c>
      <c r="F84" s="3" t="s">
        <v>45</v>
      </c>
      <c r="G84" s="3" t="s">
        <v>51</v>
      </c>
      <c r="H84" s="3"/>
      <c r="I84" s="3"/>
      <c r="J84" s="3"/>
      <c r="K84" s="3"/>
      <c r="L84" s="3" t="n">
        <v>2</v>
      </c>
      <c r="M84" s="3" t="s">
        <v>41</v>
      </c>
      <c r="N84" s="3" t="s">
        <v>34</v>
      </c>
      <c r="O84" s="3" t="n">
        <v>2</v>
      </c>
      <c r="P84" s="3" t="n">
        <v>8</v>
      </c>
    </row>
    <row r="85" customFormat="false" ht="15" hidden="false" customHeight="true" outlineLevel="0" collapsed="false">
      <c r="A85" s="4" t="s">
        <v>146</v>
      </c>
      <c r="B85" s="4"/>
      <c r="C85" s="4" t="s">
        <v>28</v>
      </c>
      <c r="D85" s="4" t="s">
        <v>65</v>
      </c>
      <c r="E85" s="4" t="s">
        <v>49</v>
      </c>
      <c r="F85" s="4" t="s">
        <v>50</v>
      </c>
      <c r="G85" s="4" t="s">
        <v>21</v>
      </c>
      <c r="H85" s="4" t="s">
        <v>39</v>
      </c>
      <c r="I85" s="4" t="s">
        <v>32</v>
      </c>
      <c r="J85" s="4" t="n">
        <v>2923</v>
      </c>
      <c r="K85" s="4" t="s">
        <v>24</v>
      </c>
      <c r="L85" s="4" t="n">
        <v>1</v>
      </c>
      <c r="M85" s="4" t="s">
        <v>41</v>
      </c>
      <c r="N85" s="4" t="s">
        <v>34</v>
      </c>
      <c r="O85" s="4" t="n">
        <v>4</v>
      </c>
      <c r="P85" s="4" t="n">
        <v>8</v>
      </c>
    </row>
    <row r="86" customFormat="false" ht="15" hidden="false" customHeight="true" outlineLevel="0" collapsed="false">
      <c r="A86" s="3" t="s">
        <v>147</v>
      </c>
      <c r="B86" s="3" t="n">
        <v>43</v>
      </c>
      <c r="C86" s="3" t="s">
        <v>28</v>
      </c>
      <c r="D86" s="3" t="s">
        <v>48</v>
      </c>
      <c r="E86" s="3" t="s">
        <v>37</v>
      </c>
      <c r="F86" s="3" t="s">
        <v>45</v>
      </c>
      <c r="G86" s="3" t="s">
        <v>51</v>
      </c>
      <c r="H86" s="3"/>
      <c r="I86" s="3"/>
      <c r="J86" s="3"/>
      <c r="K86" s="3"/>
      <c r="L86" s="3" t="n">
        <v>3</v>
      </c>
      <c r="M86" s="3" t="s">
        <v>46</v>
      </c>
      <c r="N86" s="3" t="s">
        <v>34</v>
      </c>
      <c r="O86" s="3" t="n">
        <v>2</v>
      </c>
      <c r="P86" s="3" t="n">
        <v>7</v>
      </c>
    </row>
    <row r="87" customFormat="false" ht="15" hidden="false" customHeight="true" outlineLevel="0" collapsed="false">
      <c r="A87" s="4" t="s">
        <v>148</v>
      </c>
      <c r="B87" s="4" t="n">
        <v>56</v>
      </c>
      <c r="C87" s="4" t="s">
        <v>17</v>
      </c>
      <c r="D87" s="4" t="s">
        <v>65</v>
      </c>
      <c r="E87" s="4" t="s">
        <v>19</v>
      </c>
      <c r="F87" s="4" t="s">
        <v>50</v>
      </c>
      <c r="G87" s="4" t="s">
        <v>21</v>
      </c>
      <c r="H87" s="4" t="s">
        <v>31</v>
      </c>
      <c r="I87" s="4" t="s">
        <v>32</v>
      </c>
      <c r="J87" s="4" t="n">
        <v>2201</v>
      </c>
      <c r="K87" s="4" t="s">
        <v>24</v>
      </c>
      <c r="L87" s="4" t="n">
        <v>4</v>
      </c>
      <c r="M87" s="4" t="s">
        <v>25</v>
      </c>
      <c r="N87" s="4" t="s">
        <v>34</v>
      </c>
      <c r="O87" s="4" t="n">
        <v>2</v>
      </c>
      <c r="P87" s="4" t="n">
        <v>8</v>
      </c>
    </row>
    <row r="88" customFormat="false" ht="15" hidden="false" customHeight="true" outlineLevel="0" collapsed="false">
      <c r="A88" s="3" t="s">
        <v>149</v>
      </c>
      <c r="B88" s="3" t="n">
        <v>51</v>
      </c>
      <c r="C88" s="3" t="s">
        <v>28</v>
      </c>
      <c r="D88" s="3" t="s">
        <v>36</v>
      </c>
      <c r="E88" s="3" t="s">
        <v>49</v>
      </c>
      <c r="F88" s="3" t="s">
        <v>50</v>
      </c>
      <c r="G88" s="3" t="s">
        <v>21</v>
      </c>
      <c r="H88" s="3" t="s">
        <v>66</v>
      </c>
      <c r="I88" s="3" t="s">
        <v>60</v>
      </c>
      <c r="J88" s="3" t="n">
        <v>4209</v>
      </c>
      <c r="K88" s="3" t="s">
        <v>70</v>
      </c>
      <c r="L88" s="3" t="n">
        <v>4</v>
      </c>
      <c r="M88" s="3" t="s">
        <v>25</v>
      </c>
      <c r="N88" s="3" t="s">
        <v>71</v>
      </c>
      <c r="O88" s="3" t="n">
        <v>3</v>
      </c>
      <c r="P88" s="3" t="n">
        <v>4</v>
      </c>
    </row>
    <row r="89" customFormat="false" ht="15" hidden="false" customHeight="true" outlineLevel="0" collapsed="false">
      <c r="A89" s="4" t="s">
        <v>150</v>
      </c>
      <c r="B89" s="4" t="n">
        <v>23</v>
      </c>
      <c r="C89" s="4" t="s">
        <v>17</v>
      </c>
      <c r="D89" s="4" t="s">
        <v>29</v>
      </c>
      <c r="E89" s="4" t="s">
        <v>19</v>
      </c>
      <c r="F89" s="4" t="s">
        <v>50</v>
      </c>
      <c r="G89" s="4" t="s">
        <v>21</v>
      </c>
      <c r="H89" s="4" t="s">
        <v>66</v>
      </c>
      <c r="I89" s="4" t="s">
        <v>60</v>
      </c>
      <c r="J89" s="4" t="n">
        <v>4245</v>
      </c>
      <c r="K89" s="4" t="s">
        <v>33</v>
      </c>
      <c r="L89" s="4" t="n">
        <v>2</v>
      </c>
      <c r="M89" s="4" t="s">
        <v>46</v>
      </c>
      <c r="N89" s="4" t="s">
        <v>71</v>
      </c>
      <c r="O89" s="4" t="n">
        <v>2</v>
      </c>
      <c r="P89" s="4" t="n">
        <v>4</v>
      </c>
    </row>
    <row r="90" customFormat="false" ht="15" hidden="false" customHeight="true" outlineLevel="0" collapsed="false">
      <c r="A90" s="3" t="s">
        <v>151</v>
      </c>
      <c r="B90" s="3" t="n">
        <v>59</v>
      </c>
      <c r="C90" s="3" t="s">
        <v>28</v>
      </c>
      <c r="D90" s="3" t="s">
        <v>48</v>
      </c>
      <c r="E90" s="3" t="s">
        <v>49</v>
      </c>
      <c r="F90" s="3" t="s">
        <v>58</v>
      </c>
      <c r="G90" s="3" t="s">
        <v>51</v>
      </c>
      <c r="H90" s="3"/>
      <c r="I90" s="3"/>
      <c r="J90" s="3"/>
      <c r="K90" s="3"/>
      <c r="L90" s="3" t="n">
        <v>1</v>
      </c>
      <c r="M90" s="3" t="s">
        <v>41</v>
      </c>
      <c r="N90" s="3" t="s">
        <v>34</v>
      </c>
      <c r="O90" s="3" t="n">
        <v>3</v>
      </c>
      <c r="P90" s="3" t="n">
        <v>7</v>
      </c>
    </row>
    <row r="91" customFormat="false" ht="15" hidden="false" customHeight="true" outlineLevel="0" collapsed="false">
      <c r="A91" s="4" t="s">
        <v>152</v>
      </c>
      <c r="B91" s="4" t="n">
        <v>34</v>
      </c>
      <c r="C91" s="4" t="s">
        <v>28</v>
      </c>
      <c r="D91" s="4" t="s">
        <v>29</v>
      </c>
      <c r="E91" s="4" t="s">
        <v>37</v>
      </c>
      <c r="F91" s="4" t="s">
        <v>58</v>
      </c>
      <c r="G91" s="4" t="s">
        <v>21</v>
      </c>
      <c r="H91" s="4" t="s">
        <v>39</v>
      </c>
      <c r="I91" s="4" t="s">
        <v>23</v>
      </c>
      <c r="J91" s="4" t="n">
        <v>9760</v>
      </c>
      <c r="K91" s="4" t="s">
        <v>24</v>
      </c>
      <c r="L91" s="4" t="n">
        <v>2</v>
      </c>
      <c r="M91" s="4" t="s">
        <v>46</v>
      </c>
      <c r="N91" s="4" t="s">
        <v>84</v>
      </c>
      <c r="O91" s="4" t="n">
        <v>3</v>
      </c>
      <c r="P91" s="4" t="n">
        <v>3</v>
      </c>
    </row>
    <row r="92" customFormat="false" ht="15" hidden="false" customHeight="true" outlineLevel="0" collapsed="false">
      <c r="A92" s="3" t="s">
        <v>153</v>
      </c>
      <c r="B92" s="3" t="n">
        <v>18</v>
      </c>
      <c r="C92" s="3" t="s">
        <v>17</v>
      </c>
      <c r="D92" s="3" t="s">
        <v>65</v>
      </c>
      <c r="E92" s="3" t="s">
        <v>49</v>
      </c>
      <c r="F92" s="3" t="s">
        <v>20</v>
      </c>
      <c r="G92" s="3" t="s">
        <v>21</v>
      </c>
      <c r="H92" s="3" t="s">
        <v>56</v>
      </c>
      <c r="I92" s="3" t="s">
        <v>69</v>
      </c>
      <c r="J92" s="3" t="n">
        <v>3669</v>
      </c>
      <c r="K92" s="3" t="s">
        <v>70</v>
      </c>
      <c r="L92" s="3" t="n">
        <v>4</v>
      </c>
      <c r="M92" s="3" t="s">
        <v>25</v>
      </c>
      <c r="N92" s="3" t="s">
        <v>71</v>
      </c>
      <c r="O92" s="3" t="n">
        <v>4</v>
      </c>
      <c r="P92" s="3" t="n">
        <v>5</v>
      </c>
    </row>
    <row r="93" customFormat="false" ht="15" hidden="false" customHeight="true" outlineLevel="0" collapsed="false">
      <c r="A93" s="4" t="s">
        <v>154</v>
      </c>
      <c r="B93" s="4" t="n">
        <v>19</v>
      </c>
      <c r="C93" s="4" t="s">
        <v>28</v>
      </c>
      <c r="D93" s="4" t="s">
        <v>18</v>
      </c>
      <c r="E93" s="4" t="s">
        <v>37</v>
      </c>
      <c r="F93" s="4" t="s">
        <v>45</v>
      </c>
      <c r="G93" s="4" t="s">
        <v>21</v>
      </c>
      <c r="H93" s="4" t="s">
        <v>31</v>
      </c>
      <c r="I93" s="4" t="s">
        <v>69</v>
      </c>
      <c r="J93" s="4" t="n">
        <v>6862</v>
      </c>
      <c r="K93" s="4" t="s">
        <v>33</v>
      </c>
      <c r="L93" s="4" t="n">
        <v>1</v>
      </c>
      <c r="M93" s="4" t="s">
        <v>25</v>
      </c>
      <c r="N93" s="4" t="s">
        <v>84</v>
      </c>
      <c r="O93" s="4" t="n">
        <v>1</v>
      </c>
      <c r="P93" s="4" t="n">
        <v>6</v>
      </c>
    </row>
    <row r="94" customFormat="false" ht="15" hidden="false" customHeight="true" outlineLevel="0" collapsed="false">
      <c r="A94" s="3" t="s">
        <v>155</v>
      </c>
      <c r="B94" s="3" t="n">
        <v>32</v>
      </c>
      <c r="C94" s="3" t="s">
        <v>28</v>
      </c>
      <c r="D94" s="3" t="s">
        <v>36</v>
      </c>
      <c r="E94" s="3" t="s">
        <v>44</v>
      </c>
      <c r="F94" s="3" t="s">
        <v>20</v>
      </c>
      <c r="G94" s="3" t="s">
        <v>21</v>
      </c>
      <c r="H94" s="3" t="s">
        <v>68</v>
      </c>
      <c r="I94" s="3" t="s">
        <v>69</v>
      </c>
      <c r="J94" s="3" t="n">
        <v>3561</v>
      </c>
      <c r="K94" s="3" t="s">
        <v>33</v>
      </c>
      <c r="L94" s="3"/>
      <c r="M94" s="3" t="s">
        <v>46</v>
      </c>
      <c r="N94" s="3" t="s">
        <v>71</v>
      </c>
      <c r="O94" s="3" t="n">
        <v>1</v>
      </c>
      <c r="P94" s="3" t="n">
        <v>1</v>
      </c>
    </row>
    <row r="95" customFormat="false" ht="15" hidden="false" customHeight="true" outlineLevel="0" collapsed="false">
      <c r="A95" s="4" t="s">
        <v>156</v>
      </c>
      <c r="B95" s="4" t="n">
        <v>46</v>
      </c>
      <c r="C95" s="4" t="s">
        <v>28</v>
      </c>
      <c r="D95" s="4" t="s">
        <v>62</v>
      </c>
      <c r="E95" s="4" t="s">
        <v>44</v>
      </c>
      <c r="F95" s="4" t="s">
        <v>38</v>
      </c>
      <c r="G95" s="4" t="s">
        <v>21</v>
      </c>
      <c r="H95" s="4" t="s">
        <v>56</v>
      </c>
      <c r="I95" s="4" t="s">
        <v>69</v>
      </c>
      <c r="J95" s="4" t="n">
        <v>328</v>
      </c>
      <c r="K95" s="4" t="s">
        <v>33</v>
      </c>
      <c r="L95" s="4" t="n">
        <v>5</v>
      </c>
      <c r="M95" s="4" t="s">
        <v>46</v>
      </c>
      <c r="N95" s="4" t="s">
        <v>34</v>
      </c>
      <c r="O95" s="4" t="n">
        <v>4</v>
      </c>
      <c r="P95" s="4" t="n">
        <v>8</v>
      </c>
    </row>
    <row r="96" customFormat="false" ht="15" hidden="false" customHeight="true" outlineLevel="0" collapsed="false">
      <c r="A96" s="3" t="s">
        <v>157</v>
      </c>
      <c r="B96" s="3" t="n">
        <v>39</v>
      </c>
      <c r="C96" s="3" t="s">
        <v>28</v>
      </c>
      <c r="D96" s="3" t="s">
        <v>18</v>
      </c>
      <c r="E96" s="3" t="s">
        <v>37</v>
      </c>
      <c r="F96" s="3" t="s">
        <v>58</v>
      </c>
      <c r="G96" s="3" t="s">
        <v>21</v>
      </c>
      <c r="H96" s="3" t="s">
        <v>66</v>
      </c>
      <c r="I96" s="3" t="s">
        <v>60</v>
      </c>
      <c r="J96" s="3" t="n">
        <v>10993</v>
      </c>
      <c r="K96" s="3" t="s">
        <v>24</v>
      </c>
      <c r="L96" s="3" t="n">
        <v>5</v>
      </c>
      <c r="M96" s="3" t="s">
        <v>25</v>
      </c>
      <c r="N96" s="3" t="s">
        <v>71</v>
      </c>
      <c r="O96" s="3" t="n">
        <v>4</v>
      </c>
      <c r="P96" s="3" t="n">
        <v>3</v>
      </c>
    </row>
    <row r="97" customFormat="false" ht="15" hidden="false" customHeight="true" outlineLevel="0" collapsed="false">
      <c r="A97" s="4" t="s">
        <v>158</v>
      </c>
      <c r="B97" s="4" t="n">
        <v>34</v>
      </c>
      <c r="C97" s="4" t="s">
        <v>28</v>
      </c>
      <c r="D97" s="4" t="s">
        <v>29</v>
      </c>
      <c r="E97" s="4" t="s">
        <v>30</v>
      </c>
      <c r="F97" s="4"/>
      <c r="G97" s="4" t="s">
        <v>51</v>
      </c>
      <c r="H97" s="4"/>
      <c r="I97" s="4"/>
      <c r="J97" s="4"/>
      <c r="K97" s="4"/>
      <c r="L97" s="4" t="n">
        <v>2</v>
      </c>
      <c r="M97" s="4" t="s">
        <v>25</v>
      </c>
      <c r="N97" s="4" t="s">
        <v>34</v>
      </c>
      <c r="O97" s="4" t="n">
        <v>1</v>
      </c>
      <c r="P97" s="4" t="n">
        <v>5</v>
      </c>
    </row>
    <row r="98" customFormat="false" ht="15" hidden="false" customHeight="true" outlineLevel="0" collapsed="false">
      <c r="A98" s="3" t="s">
        <v>159</v>
      </c>
      <c r="B98" s="3" t="n">
        <v>31</v>
      </c>
      <c r="C98" s="3" t="s">
        <v>28</v>
      </c>
      <c r="D98" s="3" t="s">
        <v>18</v>
      </c>
      <c r="E98" s="3" t="s">
        <v>37</v>
      </c>
      <c r="F98" s="3" t="s">
        <v>50</v>
      </c>
      <c r="G98" s="3" t="s">
        <v>51</v>
      </c>
      <c r="H98" s="3"/>
      <c r="I98" s="3"/>
      <c r="J98" s="3"/>
      <c r="K98" s="3"/>
      <c r="L98" s="3" t="n">
        <v>1</v>
      </c>
      <c r="M98" s="3" t="s">
        <v>46</v>
      </c>
      <c r="N98" s="3" t="s">
        <v>34</v>
      </c>
      <c r="O98" s="3" t="n">
        <v>5</v>
      </c>
      <c r="P98" s="3" t="n">
        <v>3</v>
      </c>
    </row>
    <row r="99" customFormat="false" ht="15" hidden="false" customHeight="true" outlineLevel="0" collapsed="false">
      <c r="A99" s="4" t="s">
        <v>160</v>
      </c>
      <c r="B99" s="4" t="n">
        <v>22</v>
      </c>
      <c r="C99" s="4" t="s">
        <v>17</v>
      </c>
      <c r="D99" s="4" t="s">
        <v>65</v>
      </c>
      <c r="E99" s="4" t="s">
        <v>44</v>
      </c>
      <c r="F99" s="4" t="s">
        <v>50</v>
      </c>
      <c r="G99" s="4" t="s">
        <v>21</v>
      </c>
      <c r="H99" s="4" t="s">
        <v>66</v>
      </c>
      <c r="I99" s="4" t="s">
        <v>23</v>
      </c>
      <c r="J99" s="4" t="n">
        <v>6300</v>
      </c>
      <c r="K99" s="4" t="s">
        <v>33</v>
      </c>
      <c r="L99" s="4" t="n">
        <v>3</v>
      </c>
      <c r="M99" s="4" t="s">
        <v>25</v>
      </c>
      <c r="N99" s="4" t="s">
        <v>71</v>
      </c>
      <c r="O99" s="4" t="n">
        <v>2</v>
      </c>
      <c r="P99" s="4" t="n">
        <v>3</v>
      </c>
    </row>
    <row r="100" customFormat="false" ht="15" hidden="false" customHeight="true" outlineLevel="0" collapsed="false">
      <c r="A100" s="3" t="s">
        <v>161</v>
      </c>
      <c r="B100" s="3" t="n">
        <v>39</v>
      </c>
      <c r="C100" s="3" t="s">
        <v>17</v>
      </c>
      <c r="D100" s="3" t="s">
        <v>18</v>
      </c>
      <c r="E100" s="3" t="s">
        <v>37</v>
      </c>
      <c r="F100" s="3" t="s">
        <v>50</v>
      </c>
      <c r="G100" s="3" t="s">
        <v>51</v>
      </c>
      <c r="H100" s="3"/>
      <c r="I100" s="3"/>
      <c r="J100" s="3"/>
      <c r="K100" s="3"/>
      <c r="L100" s="3" t="n">
        <v>2</v>
      </c>
      <c r="M100" s="3" t="s">
        <v>46</v>
      </c>
      <c r="N100" s="3" t="s">
        <v>34</v>
      </c>
      <c r="O100" s="3" t="n">
        <v>4</v>
      </c>
      <c r="P100" s="3" t="n">
        <v>8</v>
      </c>
    </row>
    <row r="101" customFormat="false" ht="15" hidden="false" customHeight="true" outlineLevel="0" collapsed="false">
      <c r="A101" s="4" t="s">
        <v>162</v>
      </c>
      <c r="B101" s="4" t="n">
        <v>53</v>
      </c>
      <c r="C101" s="4" t="s">
        <v>28</v>
      </c>
      <c r="D101" s="4" t="s">
        <v>43</v>
      </c>
      <c r="E101" s="4" t="s">
        <v>54</v>
      </c>
      <c r="F101" s="4" t="s">
        <v>45</v>
      </c>
      <c r="G101" s="4" t="s">
        <v>21</v>
      </c>
      <c r="H101" s="4" t="s">
        <v>22</v>
      </c>
      <c r="I101" s="4" t="s">
        <v>32</v>
      </c>
      <c r="J101" s="4" t="n">
        <v>3958</v>
      </c>
      <c r="K101" s="4" t="s">
        <v>24</v>
      </c>
      <c r="L101" s="4" t="n">
        <v>5</v>
      </c>
      <c r="M101" s="4" t="s">
        <v>41</v>
      </c>
      <c r="N101" s="4" t="s">
        <v>34</v>
      </c>
      <c r="O101" s="4" t="n">
        <v>3</v>
      </c>
      <c r="P101" s="4" t="n">
        <v>1</v>
      </c>
    </row>
    <row r="102" customFormat="false" ht="15" hidden="false" customHeight="true" outlineLevel="0" collapsed="false">
      <c r="A102" s="3" t="s">
        <v>163</v>
      </c>
      <c r="B102" s="3" t="n">
        <v>55</v>
      </c>
      <c r="C102" s="3" t="s">
        <v>17</v>
      </c>
      <c r="D102" s="3" t="s">
        <v>48</v>
      </c>
      <c r="E102" s="3" t="s">
        <v>37</v>
      </c>
      <c r="F102" s="3" t="s">
        <v>20</v>
      </c>
      <c r="G102" s="3" t="s">
        <v>21</v>
      </c>
      <c r="H102" s="3" t="s">
        <v>31</v>
      </c>
      <c r="I102" s="3" t="s">
        <v>69</v>
      </c>
      <c r="J102" s="3" t="n">
        <v>1436</v>
      </c>
      <c r="K102" s="3" t="s">
        <v>70</v>
      </c>
      <c r="L102" s="3" t="n">
        <v>4</v>
      </c>
      <c r="M102" s="3" t="s">
        <v>46</v>
      </c>
      <c r="N102" s="3" t="s">
        <v>34</v>
      </c>
      <c r="O102" s="3" t="n">
        <v>1</v>
      </c>
      <c r="P102" s="3" t="n">
        <v>4</v>
      </c>
    </row>
    <row r="103" customFormat="false" ht="15" hidden="false" customHeight="true" outlineLevel="0" collapsed="false">
      <c r="A103" s="4" t="s">
        <v>164</v>
      </c>
      <c r="B103" s="4" t="n">
        <v>53</v>
      </c>
      <c r="C103" s="4" t="s">
        <v>17</v>
      </c>
      <c r="D103" s="4" t="s">
        <v>79</v>
      </c>
      <c r="E103" s="4" t="s">
        <v>37</v>
      </c>
      <c r="F103" s="4" t="s">
        <v>38</v>
      </c>
      <c r="G103" s="4" t="s">
        <v>21</v>
      </c>
      <c r="H103" s="4" t="s">
        <v>68</v>
      </c>
      <c r="I103" s="4" t="s">
        <v>60</v>
      </c>
      <c r="J103" s="4" t="n">
        <v>1033</v>
      </c>
      <c r="K103" s="4" t="s">
        <v>33</v>
      </c>
      <c r="L103" s="4"/>
      <c r="M103" s="4" t="s">
        <v>25</v>
      </c>
      <c r="N103" s="4" t="s">
        <v>34</v>
      </c>
      <c r="O103" s="4" t="n">
        <v>2</v>
      </c>
      <c r="P103" s="4" t="n">
        <v>2</v>
      </c>
    </row>
    <row r="104" customFormat="false" ht="15" hidden="false" customHeight="true" outlineLevel="0" collapsed="false">
      <c r="A104" s="3" t="s">
        <v>165</v>
      </c>
      <c r="B104" s="3" t="n">
        <v>43</v>
      </c>
      <c r="C104" s="3" t="s">
        <v>28</v>
      </c>
      <c r="D104" s="3" t="s">
        <v>18</v>
      </c>
      <c r="E104" s="3" t="s">
        <v>54</v>
      </c>
      <c r="F104" s="3" t="s">
        <v>38</v>
      </c>
      <c r="G104" s="3" t="s">
        <v>21</v>
      </c>
      <c r="H104" s="3" t="s">
        <v>63</v>
      </c>
      <c r="I104" s="3" t="s">
        <v>23</v>
      </c>
      <c r="J104" s="3" t="n">
        <v>928</v>
      </c>
      <c r="K104" s="3" t="s">
        <v>24</v>
      </c>
      <c r="L104" s="3" t="n">
        <v>2</v>
      </c>
      <c r="M104" s="3" t="s">
        <v>25</v>
      </c>
      <c r="N104" s="3" t="s">
        <v>71</v>
      </c>
      <c r="O104" s="3" t="n">
        <v>3</v>
      </c>
      <c r="P104" s="3" t="n">
        <v>7</v>
      </c>
    </row>
    <row r="105" customFormat="false" ht="15" hidden="false" customHeight="true" outlineLevel="0" collapsed="false">
      <c r="A105" s="4" t="s">
        <v>166</v>
      </c>
      <c r="B105" s="4" t="n">
        <v>44</v>
      </c>
      <c r="C105" s="4"/>
      <c r="D105" s="4" t="s">
        <v>53</v>
      </c>
      <c r="E105" s="4" t="s">
        <v>44</v>
      </c>
      <c r="F105" s="4"/>
      <c r="G105" s="4" t="s">
        <v>51</v>
      </c>
      <c r="H105" s="4" t="s">
        <v>31</v>
      </c>
      <c r="I105" s="4"/>
      <c r="J105" s="4"/>
      <c r="K105" s="4"/>
      <c r="L105" s="4" t="n">
        <v>2</v>
      </c>
      <c r="M105" s="4" t="s">
        <v>46</v>
      </c>
      <c r="N105" s="4" t="s">
        <v>26</v>
      </c>
      <c r="O105" s="4" t="n">
        <v>4</v>
      </c>
      <c r="P105" s="4" t="n">
        <v>4</v>
      </c>
    </row>
    <row r="106" customFormat="false" ht="15" hidden="false" customHeight="true" outlineLevel="0" collapsed="false">
      <c r="A106" s="3" t="s">
        <v>167</v>
      </c>
      <c r="B106" s="3" t="n">
        <v>31</v>
      </c>
      <c r="C106" s="3" t="s">
        <v>28</v>
      </c>
      <c r="D106" s="3" t="s">
        <v>114</v>
      </c>
      <c r="E106" s="3" t="s">
        <v>19</v>
      </c>
      <c r="F106" s="3" t="s">
        <v>20</v>
      </c>
      <c r="G106" s="3" t="s">
        <v>21</v>
      </c>
      <c r="H106" s="3" t="s">
        <v>68</v>
      </c>
      <c r="I106" s="3" t="s">
        <v>40</v>
      </c>
      <c r="J106" s="3" t="n">
        <v>3548</v>
      </c>
      <c r="K106" s="3" t="s">
        <v>33</v>
      </c>
      <c r="L106" s="3" t="n">
        <v>2</v>
      </c>
      <c r="M106" s="3" t="s">
        <v>46</v>
      </c>
      <c r="N106" s="3" t="s">
        <v>84</v>
      </c>
      <c r="O106" s="3" t="n">
        <v>5</v>
      </c>
      <c r="P106" s="3" t="n">
        <v>5</v>
      </c>
    </row>
    <row r="107" customFormat="false" ht="15" hidden="false" customHeight="true" outlineLevel="0" collapsed="false">
      <c r="A107" s="4" t="s">
        <v>168</v>
      </c>
      <c r="B107" s="4" t="n">
        <v>21</v>
      </c>
      <c r="C107" s="4" t="s">
        <v>28</v>
      </c>
      <c r="D107" s="4" t="s">
        <v>65</v>
      </c>
      <c r="E107" s="4" t="s">
        <v>54</v>
      </c>
      <c r="F107" s="4" t="s">
        <v>38</v>
      </c>
      <c r="G107" s="4" t="s">
        <v>21</v>
      </c>
      <c r="H107" s="4" t="s">
        <v>56</v>
      </c>
      <c r="I107" s="4" t="s">
        <v>40</v>
      </c>
      <c r="J107" s="4" t="n">
        <v>598</v>
      </c>
      <c r="K107" s="4" t="s">
        <v>24</v>
      </c>
      <c r="L107" s="4" t="n">
        <v>5</v>
      </c>
      <c r="M107" s="4" t="s">
        <v>46</v>
      </c>
      <c r="N107" s="4" t="s">
        <v>26</v>
      </c>
      <c r="O107" s="4" t="n">
        <v>3</v>
      </c>
      <c r="P107" s="4" t="n">
        <v>1</v>
      </c>
    </row>
    <row r="108" customFormat="false" ht="15" hidden="false" customHeight="true" outlineLevel="0" collapsed="false">
      <c r="A108" s="3" t="s">
        <v>169</v>
      </c>
      <c r="B108" s="3" t="n">
        <v>32</v>
      </c>
      <c r="C108" s="3" t="s">
        <v>17</v>
      </c>
      <c r="D108" s="3" t="s">
        <v>48</v>
      </c>
      <c r="E108" s="3" t="s">
        <v>30</v>
      </c>
      <c r="F108" s="3" t="s">
        <v>20</v>
      </c>
      <c r="G108" s="3" t="s">
        <v>21</v>
      </c>
      <c r="H108" s="3" t="s">
        <v>63</v>
      </c>
      <c r="I108" s="3" t="s">
        <v>40</v>
      </c>
      <c r="J108" s="3"/>
      <c r="K108" s="3" t="s">
        <v>24</v>
      </c>
      <c r="L108" s="3" t="n">
        <v>2</v>
      </c>
      <c r="M108" s="3" t="s">
        <v>46</v>
      </c>
      <c r="N108" s="3" t="s">
        <v>26</v>
      </c>
      <c r="O108" s="3" t="n">
        <v>5</v>
      </c>
      <c r="P108" s="3" t="n">
        <v>2</v>
      </c>
    </row>
    <row r="109" customFormat="false" ht="15" hidden="false" customHeight="true" outlineLevel="0" collapsed="false">
      <c r="A109" s="4" t="s">
        <v>170</v>
      </c>
      <c r="B109" s="4" t="n">
        <v>30</v>
      </c>
      <c r="C109" s="4" t="s">
        <v>28</v>
      </c>
      <c r="D109" s="4" t="s">
        <v>36</v>
      </c>
      <c r="E109" s="4" t="s">
        <v>19</v>
      </c>
      <c r="F109" s="4" t="s">
        <v>50</v>
      </c>
      <c r="G109" s="4" t="s">
        <v>21</v>
      </c>
      <c r="H109" s="4" t="s">
        <v>63</v>
      </c>
      <c r="I109" s="4" t="s">
        <v>60</v>
      </c>
      <c r="J109" s="4" t="n">
        <v>1681</v>
      </c>
      <c r="K109" s="4" t="s">
        <v>24</v>
      </c>
      <c r="L109" s="4" t="n">
        <v>1</v>
      </c>
      <c r="M109" s="4" t="s">
        <v>25</v>
      </c>
      <c r="N109" s="4" t="s">
        <v>71</v>
      </c>
      <c r="O109" s="4" t="n">
        <v>2</v>
      </c>
      <c r="P109" s="4" t="n">
        <v>8</v>
      </c>
    </row>
    <row r="110" customFormat="false" ht="15" hidden="false" customHeight="true" outlineLevel="0" collapsed="false">
      <c r="A110" s="3" t="s">
        <v>171</v>
      </c>
      <c r="B110" s="3" t="n">
        <v>23</v>
      </c>
      <c r="C110" s="3" t="s">
        <v>28</v>
      </c>
      <c r="D110" s="3" t="s">
        <v>65</v>
      </c>
      <c r="E110" s="3" t="s">
        <v>37</v>
      </c>
      <c r="F110" s="3" t="s">
        <v>45</v>
      </c>
      <c r="G110" s="3" t="s">
        <v>21</v>
      </c>
      <c r="H110" s="3" t="s">
        <v>56</v>
      </c>
      <c r="I110" s="3" t="s">
        <v>60</v>
      </c>
      <c r="J110" s="3" t="n">
        <v>3692</v>
      </c>
      <c r="K110" s="3" t="s">
        <v>33</v>
      </c>
      <c r="L110" s="3" t="n">
        <v>3</v>
      </c>
      <c r="M110" s="3" t="s">
        <v>46</v>
      </c>
      <c r="N110" s="3" t="s">
        <v>71</v>
      </c>
      <c r="O110" s="3" t="n">
        <v>4</v>
      </c>
      <c r="P110" s="3" t="n">
        <v>10</v>
      </c>
    </row>
    <row r="111" customFormat="false" ht="15" hidden="false" customHeight="true" outlineLevel="0" collapsed="false">
      <c r="A111" s="4" t="s">
        <v>172</v>
      </c>
      <c r="B111" s="4" t="n">
        <v>49</v>
      </c>
      <c r="C111" s="4" t="s">
        <v>28</v>
      </c>
      <c r="D111" s="4" t="s">
        <v>65</v>
      </c>
      <c r="E111" s="4" t="s">
        <v>54</v>
      </c>
      <c r="F111" s="4" t="s">
        <v>50</v>
      </c>
      <c r="G111" s="4" t="s">
        <v>21</v>
      </c>
      <c r="H111" s="4" t="s">
        <v>22</v>
      </c>
      <c r="I111" s="4" t="s">
        <v>40</v>
      </c>
      <c r="J111" s="4" t="n">
        <v>5652</v>
      </c>
      <c r="K111" s="4" t="s">
        <v>24</v>
      </c>
      <c r="L111" s="4" t="n">
        <v>5</v>
      </c>
      <c r="M111" s="4" t="s">
        <v>46</v>
      </c>
      <c r="N111" s="4" t="s">
        <v>26</v>
      </c>
      <c r="O111" s="4" t="n">
        <v>4</v>
      </c>
      <c r="P111" s="4" t="n">
        <v>4</v>
      </c>
    </row>
    <row r="112" customFormat="false" ht="15" hidden="false" customHeight="true" outlineLevel="0" collapsed="false">
      <c r="A112" s="3" t="s">
        <v>173</v>
      </c>
      <c r="B112" s="3" t="n">
        <v>51</v>
      </c>
      <c r="C112" s="3"/>
      <c r="D112" s="3" t="s">
        <v>79</v>
      </c>
      <c r="E112" s="3" t="s">
        <v>37</v>
      </c>
      <c r="F112" s="3" t="s">
        <v>20</v>
      </c>
      <c r="G112" s="3" t="s">
        <v>21</v>
      </c>
      <c r="H112" s="3" t="s">
        <v>63</v>
      </c>
      <c r="I112" s="3" t="s">
        <v>32</v>
      </c>
      <c r="J112" s="3" t="n">
        <v>1676</v>
      </c>
      <c r="K112" s="3" t="s">
        <v>70</v>
      </c>
      <c r="L112" s="3" t="n">
        <v>3</v>
      </c>
      <c r="M112" s="3" t="s">
        <v>41</v>
      </c>
      <c r="N112" s="3" t="s">
        <v>34</v>
      </c>
      <c r="O112" s="3" t="n">
        <v>4</v>
      </c>
      <c r="P112" s="3" t="n">
        <v>9</v>
      </c>
    </row>
    <row r="113" customFormat="false" ht="15" hidden="false" customHeight="true" outlineLevel="0" collapsed="false">
      <c r="A113" s="4" t="s">
        <v>174</v>
      </c>
      <c r="B113" s="4" t="n">
        <v>29</v>
      </c>
      <c r="C113" s="4" t="s">
        <v>28</v>
      </c>
      <c r="D113" s="4" t="s">
        <v>48</v>
      </c>
      <c r="E113" s="4" t="s">
        <v>54</v>
      </c>
      <c r="F113" s="4" t="s">
        <v>38</v>
      </c>
      <c r="G113" s="4" t="s">
        <v>51</v>
      </c>
      <c r="H113" s="4"/>
      <c r="I113" s="4"/>
      <c r="J113" s="4"/>
      <c r="K113" s="4"/>
      <c r="L113" s="4" t="n">
        <v>2</v>
      </c>
      <c r="M113" s="4" t="s">
        <v>46</v>
      </c>
      <c r="N113" s="4" t="s">
        <v>34</v>
      </c>
      <c r="O113" s="4" t="n">
        <v>2</v>
      </c>
      <c r="P113" s="4" t="n">
        <v>3</v>
      </c>
    </row>
    <row r="114" customFormat="false" ht="15" hidden="false" customHeight="true" outlineLevel="0" collapsed="false">
      <c r="A114" s="3" t="s">
        <v>175</v>
      </c>
      <c r="B114" s="3" t="n">
        <v>42</v>
      </c>
      <c r="C114" s="3" t="s">
        <v>28</v>
      </c>
      <c r="D114" s="3" t="s">
        <v>114</v>
      </c>
      <c r="E114" s="3" t="s">
        <v>44</v>
      </c>
      <c r="F114" s="3" t="s">
        <v>50</v>
      </c>
      <c r="G114" s="3" t="s">
        <v>51</v>
      </c>
      <c r="H114" s="3"/>
      <c r="I114" s="3"/>
      <c r="J114" s="3"/>
      <c r="K114" s="3"/>
      <c r="L114" s="3" t="n">
        <v>2</v>
      </c>
      <c r="M114" s="3" t="s">
        <v>46</v>
      </c>
      <c r="N114" s="3" t="s">
        <v>26</v>
      </c>
      <c r="O114" s="3" t="n">
        <v>3</v>
      </c>
      <c r="P114" s="3" t="n">
        <v>9</v>
      </c>
    </row>
    <row r="115" customFormat="false" ht="15" hidden="false" customHeight="true" outlineLevel="0" collapsed="false">
      <c r="A115" s="4" t="s">
        <v>176</v>
      </c>
      <c r="B115" s="4"/>
      <c r="C115" s="4" t="s">
        <v>17</v>
      </c>
      <c r="D115" s="4" t="s">
        <v>62</v>
      </c>
      <c r="E115" s="4" t="s">
        <v>30</v>
      </c>
      <c r="F115" s="4" t="s">
        <v>50</v>
      </c>
      <c r="G115" s="4" t="s">
        <v>51</v>
      </c>
      <c r="H115" s="4"/>
      <c r="I115" s="4"/>
      <c r="J115" s="4"/>
      <c r="K115" s="4"/>
      <c r="L115" s="4" t="n">
        <v>1</v>
      </c>
      <c r="M115" s="4" t="s">
        <v>25</v>
      </c>
      <c r="N115" s="4" t="s">
        <v>34</v>
      </c>
      <c r="O115" s="4" t="n">
        <v>1</v>
      </c>
      <c r="P115" s="4" t="n">
        <v>2</v>
      </c>
    </row>
    <row r="116" customFormat="false" ht="15" hidden="false" customHeight="true" outlineLevel="0" collapsed="false">
      <c r="A116" s="3" t="s">
        <v>177</v>
      </c>
      <c r="B116" s="3" t="n">
        <v>59</v>
      </c>
      <c r="C116" s="3" t="s">
        <v>17</v>
      </c>
      <c r="D116" s="3" t="s">
        <v>65</v>
      </c>
      <c r="E116" s="3" t="s">
        <v>54</v>
      </c>
      <c r="F116" s="3" t="s">
        <v>38</v>
      </c>
      <c r="G116" s="3" t="s">
        <v>51</v>
      </c>
      <c r="H116" s="3"/>
      <c r="I116" s="3"/>
      <c r="J116" s="3"/>
      <c r="K116" s="3"/>
      <c r="L116" s="3" t="n">
        <v>3</v>
      </c>
      <c r="M116" s="3" t="s">
        <v>25</v>
      </c>
      <c r="N116" s="3" t="s">
        <v>71</v>
      </c>
      <c r="O116" s="3" t="n">
        <v>1</v>
      </c>
      <c r="P116" s="3" t="n">
        <v>6</v>
      </c>
    </row>
    <row r="117" customFormat="false" ht="15" hidden="false" customHeight="true" outlineLevel="0" collapsed="false">
      <c r="A117" s="4" t="s">
        <v>178</v>
      </c>
      <c r="B117" s="4" t="n">
        <v>21</v>
      </c>
      <c r="C117" s="4" t="s">
        <v>17</v>
      </c>
      <c r="D117" s="4" t="s">
        <v>43</v>
      </c>
      <c r="E117" s="4" t="s">
        <v>44</v>
      </c>
      <c r="F117" s="4" t="s">
        <v>45</v>
      </c>
      <c r="G117" s="4" t="s">
        <v>21</v>
      </c>
      <c r="H117" s="4" t="s">
        <v>68</v>
      </c>
      <c r="I117" s="4" t="s">
        <v>32</v>
      </c>
      <c r="J117" s="4"/>
      <c r="K117" s="4" t="s">
        <v>33</v>
      </c>
      <c r="L117" s="4"/>
      <c r="M117" s="4" t="s">
        <v>25</v>
      </c>
      <c r="N117" s="4" t="s">
        <v>34</v>
      </c>
      <c r="O117" s="4" t="n">
        <v>4</v>
      </c>
      <c r="P117" s="4" t="n">
        <v>2</v>
      </c>
    </row>
    <row r="118" customFormat="false" ht="15" hidden="false" customHeight="true" outlineLevel="0" collapsed="false">
      <c r="A118" s="3" t="s">
        <v>179</v>
      </c>
      <c r="B118" s="3" t="n">
        <v>46</v>
      </c>
      <c r="C118" s="3" t="s">
        <v>28</v>
      </c>
      <c r="D118" s="3" t="s">
        <v>53</v>
      </c>
      <c r="E118" s="3" t="s">
        <v>44</v>
      </c>
      <c r="F118" s="3" t="s">
        <v>50</v>
      </c>
      <c r="G118" s="3" t="s">
        <v>51</v>
      </c>
      <c r="H118" s="3" t="s">
        <v>68</v>
      </c>
      <c r="I118" s="3"/>
      <c r="J118" s="3"/>
      <c r="K118" s="3"/>
      <c r="L118" s="3" t="n">
        <v>3</v>
      </c>
      <c r="M118" s="3" t="s">
        <v>25</v>
      </c>
      <c r="N118" s="3" t="s">
        <v>26</v>
      </c>
      <c r="O118" s="3" t="n">
        <v>2</v>
      </c>
      <c r="P118" s="3" t="n">
        <v>3</v>
      </c>
    </row>
    <row r="119" customFormat="false" ht="15" hidden="false" customHeight="true" outlineLevel="0" collapsed="false">
      <c r="A119" s="4" t="s">
        <v>180</v>
      </c>
      <c r="B119" s="4" t="n">
        <v>56</v>
      </c>
      <c r="C119" s="4" t="s">
        <v>28</v>
      </c>
      <c r="D119" s="4" t="s">
        <v>65</v>
      </c>
      <c r="E119" s="4" t="s">
        <v>37</v>
      </c>
      <c r="F119" s="4" t="s">
        <v>50</v>
      </c>
      <c r="G119" s="4" t="s">
        <v>51</v>
      </c>
      <c r="H119" s="4"/>
      <c r="I119" s="4"/>
      <c r="J119" s="4"/>
      <c r="K119" s="4"/>
      <c r="L119" s="4" t="n">
        <v>2</v>
      </c>
      <c r="M119" s="4" t="s">
        <v>46</v>
      </c>
      <c r="N119" s="4" t="s">
        <v>34</v>
      </c>
      <c r="O119" s="4" t="n">
        <v>5</v>
      </c>
      <c r="P119" s="4" t="n">
        <v>7</v>
      </c>
    </row>
    <row r="120" customFormat="false" ht="15" hidden="false" customHeight="true" outlineLevel="0" collapsed="false">
      <c r="A120" s="3" t="s">
        <v>181</v>
      </c>
      <c r="B120" s="3" t="n">
        <v>52</v>
      </c>
      <c r="C120" s="3" t="s">
        <v>17</v>
      </c>
      <c r="D120" s="3" t="s">
        <v>114</v>
      </c>
      <c r="E120" s="3" t="s">
        <v>30</v>
      </c>
      <c r="F120" s="3" t="s">
        <v>58</v>
      </c>
      <c r="G120" s="3" t="s">
        <v>21</v>
      </c>
      <c r="H120" s="3" t="s">
        <v>63</v>
      </c>
      <c r="I120" s="3" t="s">
        <v>40</v>
      </c>
      <c r="J120" s="3"/>
      <c r="K120" s="3" t="s">
        <v>33</v>
      </c>
      <c r="L120" s="3" t="n">
        <v>1</v>
      </c>
      <c r="M120" s="3" t="s">
        <v>46</v>
      </c>
      <c r="N120" s="3" t="s">
        <v>34</v>
      </c>
      <c r="O120" s="3" t="n">
        <v>4</v>
      </c>
      <c r="P120" s="3" t="n">
        <v>8</v>
      </c>
    </row>
    <row r="121" customFormat="false" ht="15" hidden="false" customHeight="true" outlineLevel="0" collapsed="false">
      <c r="A121" s="4" t="s">
        <v>182</v>
      </c>
      <c r="B121" s="4" t="n">
        <v>35</v>
      </c>
      <c r="C121" s="4" t="s">
        <v>28</v>
      </c>
      <c r="D121" s="4" t="s">
        <v>18</v>
      </c>
      <c r="E121" s="4" t="s">
        <v>30</v>
      </c>
      <c r="F121" s="4" t="s">
        <v>58</v>
      </c>
      <c r="G121" s="4" t="s">
        <v>21</v>
      </c>
      <c r="H121" s="4" t="s">
        <v>31</v>
      </c>
      <c r="I121" s="4" t="s">
        <v>60</v>
      </c>
      <c r="J121" s="4" t="n">
        <v>11069</v>
      </c>
      <c r="K121" s="4" t="s">
        <v>33</v>
      </c>
      <c r="L121" s="4" t="n">
        <v>1</v>
      </c>
      <c r="M121" s="4" t="s">
        <v>25</v>
      </c>
      <c r="N121" s="4" t="s">
        <v>71</v>
      </c>
      <c r="O121" s="4" t="n">
        <v>2</v>
      </c>
      <c r="P121" s="4" t="n">
        <v>3</v>
      </c>
    </row>
    <row r="122" customFormat="false" ht="15" hidden="false" customHeight="true" outlineLevel="0" collapsed="false">
      <c r="A122" s="3" t="s">
        <v>183</v>
      </c>
      <c r="B122" s="3" t="n">
        <v>49</v>
      </c>
      <c r="C122" s="3" t="s">
        <v>17</v>
      </c>
      <c r="D122" s="3" t="s">
        <v>62</v>
      </c>
      <c r="E122" s="3" t="s">
        <v>54</v>
      </c>
      <c r="F122" s="3" t="s">
        <v>45</v>
      </c>
      <c r="G122" s="3" t="s">
        <v>21</v>
      </c>
      <c r="H122" s="3" t="s">
        <v>56</v>
      </c>
      <c r="I122" s="3" t="s">
        <v>23</v>
      </c>
      <c r="J122" s="3" t="n">
        <v>7799</v>
      </c>
      <c r="K122" s="3" t="s">
        <v>24</v>
      </c>
      <c r="L122" s="3" t="n">
        <v>2</v>
      </c>
      <c r="M122" s="3" t="s">
        <v>41</v>
      </c>
      <c r="N122" s="3" t="s">
        <v>34</v>
      </c>
      <c r="O122" s="3" t="n">
        <v>3</v>
      </c>
      <c r="P122" s="3" t="n">
        <v>4</v>
      </c>
    </row>
    <row r="123" customFormat="false" ht="15" hidden="false" customHeight="true" outlineLevel="0" collapsed="false">
      <c r="A123" s="4" t="s">
        <v>184</v>
      </c>
      <c r="B123" s="4" t="n">
        <v>37</v>
      </c>
      <c r="C123" s="4" t="s">
        <v>28</v>
      </c>
      <c r="D123" s="4" t="s">
        <v>53</v>
      </c>
      <c r="E123" s="4" t="s">
        <v>54</v>
      </c>
      <c r="F123" s="4" t="s">
        <v>20</v>
      </c>
      <c r="G123" s="4" t="s">
        <v>51</v>
      </c>
      <c r="H123" s="4"/>
      <c r="I123" s="4"/>
      <c r="J123" s="4"/>
      <c r="K123" s="4"/>
      <c r="L123" s="4" t="n">
        <v>1</v>
      </c>
      <c r="M123" s="4" t="s">
        <v>46</v>
      </c>
      <c r="N123" s="4" t="s">
        <v>26</v>
      </c>
      <c r="O123" s="4" t="n">
        <v>4</v>
      </c>
      <c r="P123" s="4" t="n">
        <v>9</v>
      </c>
    </row>
    <row r="124" customFormat="false" ht="15" hidden="false" customHeight="true" outlineLevel="0" collapsed="false">
      <c r="A124" s="3" t="s">
        <v>185</v>
      </c>
      <c r="B124" s="3" t="n">
        <v>38</v>
      </c>
      <c r="C124" s="3" t="s">
        <v>17</v>
      </c>
      <c r="D124" s="3" t="s">
        <v>114</v>
      </c>
      <c r="E124" s="3" t="s">
        <v>37</v>
      </c>
      <c r="F124" s="3" t="s">
        <v>45</v>
      </c>
      <c r="G124" s="3" t="s">
        <v>51</v>
      </c>
      <c r="H124" s="3"/>
      <c r="I124" s="3"/>
      <c r="J124" s="3"/>
      <c r="K124" s="3"/>
      <c r="L124" s="3" t="n">
        <v>2</v>
      </c>
      <c r="M124" s="3" t="s">
        <v>25</v>
      </c>
      <c r="N124" s="3" t="s">
        <v>34</v>
      </c>
      <c r="O124" s="3" t="n">
        <v>3</v>
      </c>
      <c r="P124" s="3" t="n">
        <v>3</v>
      </c>
    </row>
    <row r="125" customFormat="false" ht="15" hidden="false" customHeight="true" outlineLevel="0" collapsed="false">
      <c r="A125" s="4" t="s">
        <v>186</v>
      </c>
      <c r="B125" s="4" t="n">
        <v>21</v>
      </c>
      <c r="C125" s="4" t="s">
        <v>17</v>
      </c>
      <c r="D125" s="4" t="s">
        <v>36</v>
      </c>
      <c r="E125" s="4" t="s">
        <v>54</v>
      </c>
      <c r="F125" s="4"/>
      <c r="G125" s="4" t="s">
        <v>51</v>
      </c>
      <c r="H125" s="4"/>
      <c r="I125" s="4"/>
      <c r="J125" s="4"/>
      <c r="K125" s="4"/>
      <c r="L125" s="4" t="n">
        <v>1</v>
      </c>
      <c r="M125" s="4" t="s">
        <v>41</v>
      </c>
      <c r="N125" s="4" t="s">
        <v>84</v>
      </c>
      <c r="O125" s="4" t="n">
        <v>4</v>
      </c>
      <c r="P125" s="4" t="n">
        <v>8</v>
      </c>
    </row>
    <row r="126" customFormat="false" ht="15" hidden="false" customHeight="true" outlineLevel="0" collapsed="false">
      <c r="A126" s="3" t="s">
        <v>187</v>
      </c>
      <c r="B126" s="3" t="n">
        <v>34</v>
      </c>
      <c r="C126" s="3" t="s">
        <v>28</v>
      </c>
      <c r="D126" s="3" t="s">
        <v>36</v>
      </c>
      <c r="E126" s="3" t="s">
        <v>19</v>
      </c>
      <c r="F126" s="3" t="s">
        <v>45</v>
      </c>
      <c r="G126" s="3" t="s">
        <v>21</v>
      </c>
      <c r="H126" s="3" t="s">
        <v>56</v>
      </c>
      <c r="I126" s="3" t="s">
        <v>69</v>
      </c>
      <c r="J126" s="3" t="n">
        <v>8400</v>
      </c>
      <c r="K126" s="3" t="s">
        <v>70</v>
      </c>
      <c r="L126" s="3" t="n">
        <v>5</v>
      </c>
      <c r="M126" s="3" t="s">
        <v>46</v>
      </c>
      <c r="N126" s="3" t="s">
        <v>34</v>
      </c>
      <c r="O126" s="3" t="n">
        <v>1</v>
      </c>
      <c r="P126" s="3" t="n">
        <v>5</v>
      </c>
    </row>
    <row r="127" customFormat="false" ht="15" hidden="false" customHeight="true" outlineLevel="0" collapsed="false">
      <c r="A127" s="4" t="s">
        <v>188</v>
      </c>
      <c r="B127" s="4" t="n">
        <v>30</v>
      </c>
      <c r="C127" s="4"/>
      <c r="D127" s="4" t="s">
        <v>36</v>
      </c>
      <c r="E127" s="4" t="s">
        <v>37</v>
      </c>
      <c r="F127" s="4" t="s">
        <v>20</v>
      </c>
      <c r="G127" s="4" t="s">
        <v>21</v>
      </c>
      <c r="H127" s="4" t="s">
        <v>31</v>
      </c>
      <c r="I127" s="4" t="s">
        <v>23</v>
      </c>
      <c r="J127" s="4" t="n">
        <v>2792</v>
      </c>
      <c r="K127" s="4" t="s">
        <v>70</v>
      </c>
      <c r="L127" s="4" t="n">
        <v>4</v>
      </c>
      <c r="M127" s="4" t="s">
        <v>41</v>
      </c>
      <c r="N127" s="4" t="s">
        <v>34</v>
      </c>
      <c r="O127" s="4" t="n">
        <v>4</v>
      </c>
      <c r="P127" s="4" t="n">
        <v>9</v>
      </c>
    </row>
    <row r="128" customFormat="false" ht="15" hidden="false" customHeight="true" outlineLevel="0" collapsed="false">
      <c r="A128" s="3" t="s">
        <v>189</v>
      </c>
      <c r="B128" s="3" t="n">
        <v>44</v>
      </c>
      <c r="C128" s="3" t="s">
        <v>28</v>
      </c>
      <c r="D128" s="3" t="s">
        <v>65</v>
      </c>
      <c r="E128" s="3" t="s">
        <v>44</v>
      </c>
      <c r="F128" s="3" t="s">
        <v>20</v>
      </c>
      <c r="G128" s="3" t="s">
        <v>51</v>
      </c>
      <c r="H128" s="3"/>
      <c r="I128" s="3"/>
      <c r="J128" s="3"/>
      <c r="K128" s="3"/>
      <c r="L128" s="3" t="n">
        <v>1</v>
      </c>
      <c r="M128" s="3" t="s">
        <v>41</v>
      </c>
      <c r="N128" s="3" t="s">
        <v>34</v>
      </c>
      <c r="O128" s="3" t="n">
        <v>2</v>
      </c>
      <c r="P128" s="3" t="n">
        <v>8</v>
      </c>
    </row>
    <row r="129" customFormat="false" ht="15" hidden="false" customHeight="true" outlineLevel="0" collapsed="false">
      <c r="A129" s="4" t="s">
        <v>190</v>
      </c>
      <c r="B129" s="4" t="n">
        <v>49</v>
      </c>
      <c r="C129" s="4" t="s">
        <v>28</v>
      </c>
      <c r="D129" s="4" t="s">
        <v>36</v>
      </c>
      <c r="E129" s="4" t="s">
        <v>30</v>
      </c>
      <c r="F129" s="4" t="s">
        <v>58</v>
      </c>
      <c r="G129" s="4" t="s">
        <v>21</v>
      </c>
      <c r="H129" s="4" t="s">
        <v>66</v>
      </c>
      <c r="I129" s="4" t="s">
        <v>60</v>
      </c>
      <c r="J129" s="4" t="n">
        <v>24843</v>
      </c>
      <c r="K129" s="4" t="s">
        <v>24</v>
      </c>
      <c r="L129" s="4" t="n">
        <v>2</v>
      </c>
      <c r="M129" s="4" t="s">
        <v>25</v>
      </c>
      <c r="N129" s="4" t="s">
        <v>26</v>
      </c>
      <c r="O129" s="4" t="n">
        <v>1</v>
      </c>
      <c r="P129" s="4" t="n">
        <v>10</v>
      </c>
    </row>
    <row r="130" customFormat="false" ht="15" hidden="false" customHeight="true" outlineLevel="0" collapsed="false">
      <c r="A130" s="3" t="s">
        <v>191</v>
      </c>
      <c r="B130" s="3" t="n">
        <v>46</v>
      </c>
      <c r="C130" s="3" t="s">
        <v>28</v>
      </c>
      <c r="D130" s="3" t="s">
        <v>62</v>
      </c>
      <c r="E130" s="3" t="s">
        <v>54</v>
      </c>
      <c r="F130" s="3" t="s">
        <v>20</v>
      </c>
      <c r="G130" s="3" t="s">
        <v>21</v>
      </c>
      <c r="H130" s="3" t="s">
        <v>22</v>
      </c>
      <c r="I130" s="3" t="s">
        <v>23</v>
      </c>
      <c r="J130" s="3" t="n">
        <v>1544</v>
      </c>
      <c r="K130" s="3" t="s">
        <v>70</v>
      </c>
      <c r="L130" s="3" t="n">
        <v>5</v>
      </c>
      <c r="M130" s="3" t="s">
        <v>25</v>
      </c>
      <c r="N130" s="3" t="s">
        <v>26</v>
      </c>
      <c r="O130" s="3" t="n">
        <v>3</v>
      </c>
      <c r="P130" s="3" t="n">
        <v>7</v>
      </c>
    </row>
    <row r="131" customFormat="false" ht="15" hidden="false" customHeight="true" outlineLevel="0" collapsed="false">
      <c r="A131" s="4" t="s">
        <v>192</v>
      </c>
      <c r="B131" s="4" t="n">
        <v>36</v>
      </c>
      <c r="C131" s="4" t="s">
        <v>17</v>
      </c>
      <c r="D131" s="4" t="s">
        <v>62</v>
      </c>
      <c r="E131" s="4" t="s">
        <v>37</v>
      </c>
      <c r="F131" s="4" t="s">
        <v>20</v>
      </c>
      <c r="G131" s="4" t="s">
        <v>21</v>
      </c>
      <c r="H131" s="4" t="s">
        <v>31</v>
      </c>
      <c r="I131" s="4" t="s">
        <v>40</v>
      </c>
      <c r="J131" s="4" t="n">
        <v>2375</v>
      </c>
      <c r="K131" s="4" t="s">
        <v>70</v>
      </c>
      <c r="L131" s="4" t="n">
        <v>5</v>
      </c>
      <c r="M131" s="4" t="s">
        <v>41</v>
      </c>
      <c r="N131" s="4" t="s">
        <v>34</v>
      </c>
      <c r="O131" s="4" t="n">
        <v>2</v>
      </c>
      <c r="P131" s="4" t="n">
        <v>10</v>
      </c>
    </row>
    <row r="132" customFormat="false" ht="15" hidden="false" customHeight="true" outlineLevel="0" collapsed="false">
      <c r="A132" s="3" t="s">
        <v>193</v>
      </c>
      <c r="B132" s="3" t="n">
        <v>39</v>
      </c>
      <c r="C132" s="3" t="s">
        <v>28</v>
      </c>
      <c r="D132" s="3" t="s">
        <v>114</v>
      </c>
      <c r="E132" s="3" t="s">
        <v>44</v>
      </c>
      <c r="F132" s="3" t="s">
        <v>58</v>
      </c>
      <c r="G132" s="3" t="s">
        <v>51</v>
      </c>
      <c r="H132" s="3"/>
      <c r="I132" s="3"/>
      <c r="J132" s="3"/>
      <c r="K132" s="3"/>
      <c r="L132" s="3" t="n">
        <v>3</v>
      </c>
      <c r="M132" s="3" t="s">
        <v>25</v>
      </c>
      <c r="N132" s="3" t="s">
        <v>34</v>
      </c>
      <c r="O132" s="3" t="n">
        <v>3</v>
      </c>
      <c r="P132" s="3" t="n">
        <v>8</v>
      </c>
    </row>
    <row r="133" customFormat="false" ht="15" hidden="false" customHeight="true" outlineLevel="0" collapsed="false">
      <c r="A133" s="4" t="s">
        <v>194</v>
      </c>
      <c r="B133" s="4" t="n">
        <v>30</v>
      </c>
      <c r="C133" s="4" t="s">
        <v>17</v>
      </c>
      <c r="D133" s="4" t="s">
        <v>29</v>
      </c>
      <c r="E133" s="4" t="s">
        <v>37</v>
      </c>
      <c r="F133" s="4" t="s">
        <v>20</v>
      </c>
      <c r="G133" s="4" t="s">
        <v>21</v>
      </c>
      <c r="H133" s="4" t="s">
        <v>39</v>
      </c>
      <c r="I133" s="4" t="s">
        <v>23</v>
      </c>
      <c r="J133" s="4" t="n">
        <v>928</v>
      </c>
      <c r="K133" s="4" t="s">
        <v>70</v>
      </c>
      <c r="L133" s="4" t="n">
        <v>4</v>
      </c>
      <c r="M133" s="4" t="s">
        <v>46</v>
      </c>
      <c r="N133" s="4" t="s">
        <v>26</v>
      </c>
      <c r="O133" s="4" t="n">
        <v>4</v>
      </c>
      <c r="P133" s="4" t="n">
        <v>3</v>
      </c>
    </row>
    <row r="134" customFormat="false" ht="15" hidden="false" customHeight="true" outlineLevel="0" collapsed="false">
      <c r="A134" s="3" t="s">
        <v>195</v>
      </c>
      <c r="B134" s="3" t="n">
        <v>56</v>
      </c>
      <c r="C134" s="3" t="s">
        <v>17</v>
      </c>
      <c r="D134" s="3" t="s">
        <v>29</v>
      </c>
      <c r="E134" s="3" t="s">
        <v>30</v>
      </c>
      <c r="F134" s="3" t="s">
        <v>45</v>
      </c>
      <c r="G134" s="3" t="s">
        <v>21</v>
      </c>
      <c r="H134" s="3" t="s">
        <v>66</v>
      </c>
      <c r="I134" s="3" t="s">
        <v>32</v>
      </c>
      <c r="J134" s="3" t="n">
        <v>14817</v>
      </c>
      <c r="K134" s="3" t="s">
        <v>33</v>
      </c>
      <c r="L134" s="3" t="n">
        <v>4</v>
      </c>
      <c r="M134" s="3" t="s">
        <v>25</v>
      </c>
      <c r="N134" s="3" t="s">
        <v>71</v>
      </c>
      <c r="O134" s="3" t="n">
        <v>4</v>
      </c>
      <c r="P134" s="3" t="n">
        <v>7</v>
      </c>
    </row>
    <row r="135" customFormat="false" ht="15" hidden="false" customHeight="true" outlineLevel="0" collapsed="false">
      <c r="A135" s="4" t="s">
        <v>196</v>
      </c>
      <c r="B135" s="4" t="n">
        <v>59</v>
      </c>
      <c r="C135" s="4" t="s">
        <v>28</v>
      </c>
      <c r="D135" s="4" t="s">
        <v>29</v>
      </c>
      <c r="E135" s="4" t="s">
        <v>19</v>
      </c>
      <c r="F135" s="4" t="s">
        <v>50</v>
      </c>
      <c r="G135" s="4" t="s">
        <v>21</v>
      </c>
      <c r="H135" s="4" t="s">
        <v>56</v>
      </c>
      <c r="I135" s="4" t="s">
        <v>40</v>
      </c>
      <c r="J135" s="4" t="n">
        <v>5826</v>
      </c>
      <c r="K135" s="4" t="s">
        <v>33</v>
      </c>
      <c r="L135" s="4" t="n">
        <v>2</v>
      </c>
      <c r="M135" s="4" t="s">
        <v>41</v>
      </c>
      <c r="N135" s="4" t="s">
        <v>34</v>
      </c>
      <c r="O135" s="4" t="n">
        <v>5</v>
      </c>
      <c r="P135" s="4" t="n">
        <v>8</v>
      </c>
    </row>
    <row r="136" customFormat="false" ht="15" hidden="false" customHeight="true" outlineLevel="0" collapsed="false">
      <c r="A136" s="3" t="s">
        <v>197</v>
      </c>
      <c r="B136" s="3" t="n">
        <v>48</v>
      </c>
      <c r="C136" s="3" t="s">
        <v>28</v>
      </c>
      <c r="D136" s="3" t="s">
        <v>62</v>
      </c>
      <c r="E136" s="3" t="s">
        <v>37</v>
      </c>
      <c r="F136" s="3" t="s">
        <v>50</v>
      </c>
      <c r="G136" s="3" t="s">
        <v>21</v>
      </c>
      <c r="H136" s="3" t="s">
        <v>56</v>
      </c>
      <c r="I136" s="3" t="s">
        <v>32</v>
      </c>
      <c r="J136" s="3" t="n">
        <v>6887</v>
      </c>
      <c r="K136" s="3" t="s">
        <v>24</v>
      </c>
      <c r="L136" s="3" t="n">
        <v>2</v>
      </c>
      <c r="M136" s="3" t="s">
        <v>25</v>
      </c>
      <c r="N136" s="3" t="s">
        <v>34</v>
      </c>
      <c r="O136" s="3" t="n">
        <v>4</v>
      </c>
      <c r="P136" s="3" t="n">
        <v>3</v>
      </c>
    </row>
    <row r="137" customFormat="false" ht="15" hidden="false" customHeight="true" outlineLevel="0" collapsed="false">
      <c r="A137" s="4" t="s">
        <v>198</v>
      </c>
      <c r="B137" s="4" t="n">
        <v>19</v>
      </c>
      <c r="C137" s="4" t="s">
        <v>28</v>
      </c>
      <c r="D137" s="4" t="s">
        <v>29</v>
      </c>
      <c r="E137" s="4" t="s">
        <v>44</v>
      </c>
      <c r="F137" s="4" t="s">
        <v>45</v>
      </c>
      <c r="G137" s="4" t="s">
        <v>21</v>
      </c>
      <c r="H137" s="4" t="s">
        <v>63</v>
      </c>
      <c r="I137" s="4" t="s">
        <v>23</v>
      </c>
      <c r="J137" s="4" t="n">
        <v>13381</v>
      </c>
      <c r="K137" s="4" t="s">
        <v>24</v>
      </c>
      <c r="L137" s="4" t="n">
        <v>2</v>
      </c>
      <c r="M137" s="4" t="s">
        <v>25</v>
      </c>
      <c r="N137" s="4" t="s">
        <v>26</v>
      </c>
      <c r="O137" s="4" t="n">
        <v>3</v>
      </c>
      <c r="P137" s="4" t="n">
        <v>9</v>
      </c>
    </row>
    <row r="138" customFormat="false" ht="15" hidden="false" customHeight="true" outlineLevel="0" collapsed="false">
      <c r="A138" s="3" t="s">
        <v>199</v>
      </c>
      <c r="B138" s="3" t="n">
        <v>57</v>
      </c>
      <c r="C138" s="3" t="s">
        <v>17</v>
      </c>
      <c r="D138" s="3" t="s">
        <v>53</v>
      </c>
      <c r="E138" s="3" t="s">
        <v>49</v>
      </c>
      <c r="F138" s="3" t="s">
        <v>50</v>
      </c>
      <c r="G138" s="3" t="s">
        <v>51</v>
      </c>
      <c r="H138" s="3"/>
      <c r="I138" s="3"/>
      <c r="J138" s="3"/>
      <c r="K138" s="3"/>
      <c r="L138" s="3" t="n">
        <v>2</v>
      </c>
      <c r="M138" s="3" t="s">
        <v>41</v>
      </c>
      <c r="N138" s="3" t="s">
        <v>26</v>
      </c>
      <c r="O138" s="3" t="n">
        <v>5</v>
      </c>
      <c r="P138" s="3" t="n">
        <v>9</v>
      </c>
    </row>
    <row r="139" customFormat="false" ht="15" hidden="false" customHeight="true" outlineLevel="0" collapsed="false">
      <c r="A139" s="4" t="s">
        <v>200</v>
      </c>
      <c r="B139" s="4" t="n">
        <v>56</v>
      </c>
      <c r="C139" s="4" t="s">
        <v>28</v>
      </c>
      <c r="D139" s="4" t="s">
        <v>62</v>
      </c>
      <c r="E139" s="4" t="s">
        <v>37</v>
      </c>
      <c r="F139" s="4" t="s">
        <v>38</v>
      </c>
      <c r="G139" s="4" t="s">
        <v>21</v>
      </c>
      <c r="H139" s="4" t="s">
        <v>31</v>
      </c>
      <c r="I139" s="4" t="s">
        <v>69</v>
      </c>
      <c r="J139" s="4" t="n">
        <v>329</v>
      </c>
      <c r="K139" s="4" t="s">
        <v>24</v>
      </c>
      <c r="L139" s="4" t="n">
        <v>1</v>
      </c>
      <c r="M139" s="4" t="s">
        <v>41</v>
      </c>
      <c r="N139" s="4" t="s">
        <v>34</v>
      </c>
      <c r="O139" s="4" t="n">
        <v>5</v>
      </c>
      <c r="P139" s="4" t="n">
        <v>4</v>
      </c>
    </row>
    <row r="140" customFormat="false" ht="15" hidden="false" customHeight="true" outlineLevel="0" collapsed="false">
      <c r="A140" s="3" t="s">
        <v>201</v>
      </c>
      <c r="B140" s="3" t="n">
        <v>29</v>
      </c>
      <c r="C140" s="3" t="s">
        <v>28</v>
      </c>
      <c r="D140" s="3" t="s">
        <v>65</v>
      </c>
      <c r="E140" s="3" t="s">
        <v>54</v>
      </c>
      <c r="F140" s="3" t="s">
        <v>58</v>
      </c>
      <c r="G140" s="3" t="s">
        <v>21</v>
      </c>
      <c r="H140" s="3" t="s">
        <v>68</v>
      </c>
      <c r="I140" s="3" t="s">
        <v>60</v>
      </c>
      <c r="J140" s="3" t="n">
        <v>6013</v>
      </c>
      <c r="K140" s="3" t="s">
        <v>70</v>
      </c>
      <c r="L140" s="3" t="n">
        <v>3</v>
      </c>
      <c r="M140" s="3" t="s">
        <v>41</v>
      </c>
      <c r="N140" s="3" t="s">
        <v>26</v>
      </c>
      <c r="O140" s="3" t="n">
        <v>5</v>
      </c>
      <c r="P140" s="3" t="n">
        <v>10</v>
      </c>
    </row>
    <row r="141" customFormat="false" ht="15" hidden="false" customHeight="true" outlineLevel="0" collapsed="false">
      <c r="A141" s="4" t="s">
        <v>202</v>
      </c>
      <c r="B141" s="4" t="n">
        <v>23</v>
      </c>
      <c r="C141" s="4" t="s">
        <v>28</v>
      </c>
      <c r="D141" s="4" t="s">
        <v>79</v>
      </c>
      <c r="E141" s="4" t="s">
        <v>37</v>
      </c>
      <c r="F141" s="4" t="s">
        <v>50</v>
      </c>
      <c r="G141" s="4" t="s">
        <v>21</v>
      </c>
      <c r="H141" s="4" t="s">
        <v>66</v>
      </c>
      <c r="I141" s="4" t="s">
        <v>69</v>
      </c>
      <c r="J141" s="4" t="n">
        <v>3234</v>
      </c>
      <c r="K141" s="4" t="s">
        <v>33</v>
      </c>
      <c r="L141" s="4" t="n">
        <v>5</v>
      </c>
      <c r="M141" s="4" t="s">
        <v>41</v>
      </c>
      <c r="N141" s="4" t="s">
        <v>84</v>
      </c>
      <c r="O141" s="4" t="n">
        <v>2</v>
      </c>
      <c r="P141" s="4" t="n">
        <v>4</v>
      </c>
    </row>
    <row r="142" customFormat="false" ht="15" hidden="false" customHeight="true" outlineLevel="0" collapsed="false">
      <c r="A142" s="3" t="s">
        <v>203</v>
      </c>
      <c r="B142" s="3" t="n">
        <v>60</v>
      </c>
      <c r="C142" s="3" t="s">
        <v>17</v>
      </c>
      <c r="D142" s="3" t="s">
        <v>29</v>
      </c>
      <c r="E142" s="3" t="s">
        <v>44</v>
      </c>
      <c r="F142" s="3" t="s">
        <v>45</v>
      </c>
      <c r="G142" s="3" t="s">
        <v>21</v>
      </c>
      <c r="H142" s="3" t="s">
        <v>56</v>
      </c>
      <c r="I142" s="3" t="s">
        <v>60</v>
      </c>
      <c r="J142" s="3" t="n">
        <v>7684</v>
      </c>
      <c r="K142" s="3" t="s">
        <v>33</v>
      </c>
      <c r="L142" s="3" t="n">
        <v>1</v>
      </c>
      <c r="M142" s="3" t="s">
        <v>46</v>
      </c>
      <c r="N142" s="3" t="s">
        <v>34</v>
      </c>
      <c r="O142" s="3" t="n">
        <v>1</v>
      </c>
      <c r="P142" s="3" t="n">
        <v>7</v>
      </c>
    </row>
    <row r="143" customFormat="false" ht="15" hidden="false" customHeight="true" outlineLevel="0" collapsed="false">
      <c r="A143" s="4" t="s">
        <v>204</v>
      </c>
      <c r="B143" s="4" t="n">
        <v>40</v>
      </c>
      <c r="C143" s="4" t="s">
        <v>17</v>
      </c>
      <c r="D143" s="4" t="s">
        <v>29</v>
      </c>
      <c r="E143" s="4" t="s">
        <v>37</v>
      </c>
      <c r="F143" s="4" t="s">
        <v>20</v>
      </c>
      <c r="G143" s="4" t="s">
        <v>21</v>
      </c>
      <c r="H143" s="4" t="s">
        <v>31</v>
      </c>
      <c r="I143" s="4" t="s">
        <v>40</v>
      </c>
      <c r="J143" s="4" t="n">
        <v>1998</v>
      </c>
      <c r="K143" s="4" t="s">
        <v>24</v>
      </c>
      <c r="L143" s="4" t="n">
        <v>3</v>
      </c>
      <c r="M143" s="4" t="s">
        <v>46</v>
      </c>
      <c r="N143" s="4" t="s">
        <v>26</v>
      </c>
      <c r="O143" s="4" t="n">
        <v>5</v>
      </c>
      <c r="P143" s="4" t="n">
        <v>3</v>
      </c>
    </row>
    <row r="144" customFormat="false" ht="15" hidden="false" customHeight="true" outlineLevel="0" collapsed="false">
      <c r="A144" s="3" t="s">
        <v>205</v>
      </c>
      <c r="B144" s="3" t="n">
        <v>31</v>
      </c>
      <c r="C144" s="3" t="s">
        <v>28</v>
      </c>
      <c r="D144" s="3" t="s">
        <v>48</v>
      </c>
      <c r="E144" s="3" t="s">
        <v>54</v>
      </c>
      <c r="F144" s="3" t="s">
        <v>45</v>
      </c>
      <c r="G144" s="3" t="s">
        <v>21</v>
      </c>
      <c r="H144" s="3" t="s">
        <v>56</v>
      </c>
      <c r="I144" s="3" t="s">
        <v>60</v>
      </c>
      <c r="J144" s="3" t="n">
        <v>14395</v>
      </c>
      <c r="K144" s="3" t="s">
        <v>33</v>
      </c>
      <c r="L144" s="3" t="n">
        <v>5</v>
      </c>
      <c r="M144" s="3" t="s">
        <v>25</v>
      </c>
      <c r="N144" s="3" t="s">
        <v>26</v>
      </c>
      <c r="O144" s="3" t="n">
        <v>1</v>
      </c>
      <c r="P144" s="3" t="n">
        <v>6</v>
      </c>
    </row>
    <row r="145" customFormat="false" ht="15" hidden="false" customHeight="true" outlineLevel="0" collapsed="false">
      <c r="A145" s="4" t="s">
        <v>206</v>
      </c>
      <c r="B145" s="4"/>
      <c r="C145" s="4" t="s">
        <v>28</v>
      </c>
      <c r="D145" s="4" t="s">
        <v>53</v>
      </c>
      <c r="E145" s="4" t="s">
        <v>44</v>
      </c>
      <c r="F145" s="4"/>
      <c r="G145" s="4" t="s">
        <v>21</v>
      </c>
      <c r="H145" s="4" t="s">
        <v>39</v>
      </c>
      <c r="I145" s="4" t="s">
        <v>60</v>
      </c>
      <c r="J145" s="4" t="n">
        <v>7685</v>
      </c>
      <c r="K145" s="4" t="s">
        <v>24</v>
      </c>
      <c r="L145" s="4" t="n">
        <v>1</v>
      </c>
      <c r="M145" s="4" t="s">
        <v>46</v>
      </c>
      <c r="N145" s="4" t="s">
        <v>34</v>
      </c>
      <c r="O145" s="4" t="n">
        <v>5</v>
      </c>
      <c r="P145" s="4" t="n">
        <v>4</v>
      </c>
    </row>
    <row r="146" customFormat="false" ht="15" hidden="false" customHeight="true" outlineLevel="0" collapsed="false">
      <c r="A146" s="3" t="s">
        <v>207</v>
      </c>
      <c r="B146" s="3" t="n">
        <v>53</v>
      </c>
      <c r="C146" s="3" t="s">
        <v>28</v>
      </c>
      <c r="D146" s="3" t="s">
        <v>48</v>
      </c>
      <c r="E146" s="3" t="s">
        <v>44</v>
      </c>
      <c r="F146" s="3" t="s">
        <v>45</v>
      </c>
      <c r="G146" s="3" t="s">
        <v>21</v>
      </c>
      <c r="H146" s="3" t="s">
        <v>66</v>
      </c>
      <c r="I146" s="3" t="s">
        <v>32</v>
      </c>
      <c r="J146" s="3" t="n">
        <v>11747</v>
      </c>
      <c r="K146" s="3" t="s">
        <v>24</v>
      </c>
      <c r="L146" s="3" t="n">
        <v>4</v>
      </c>
      <c r="M146" s="3" t="s">
        <v>25</v>
      </c>
      <c r="N146" s="3" t="s">
        <v>71</v>
      </c>
      <c r="O146" s="3" t="n">
        <v>5</v>
      </c>
      <c r="P146" s="3" t="n">
        <v>6</v>
      </c>
    </row>
    <row r="147" customFormat="false" ht="15" hidden="false" customHeight="true" outlineLevel="0" collapsed="false">
      <c r="A147" s="4" t="s">
        <v>208</v>
      </c>
      <c r="B147" s="4" t="n">
        <v>49</v>
      </c>
      <c r="C147" s="4" t="s">
        <v>28</v>
      </c>
      <c r="D147" s="4" t="s">
        <v>65</v>
      </c>
      <c r="E147" s="4" t="s">
        <v>49</v>
      </c>
      <c r="F147" s="4" t="s">
        <v>58</v>
      </c>
      <c r="G147" s="4" t="s">
        <v>21</v>
      </c>
      <c r="H147" s="4" t="s">
        <v>68</v>
      </c>
      <c r="I147" s="4" t="s">
        <v>40</v>
      </c>
      <c r="J147" s="4" t="n">
        <v>10439</v>
      </c>
      <c r="K147" s="4" t="s">
        <v>70</v>
      </c>
      <c r="L147" s="4" t="n">
        <v>1</v>
      </c>
      <c r="M147" s="4" t="s">
        <v>25</v>
      </c>
      <c r="N147" s="4" t="s">
        <v>71</v>
      </c>
      <c r="O147" s="4" t="n">
        <v>5</v>
      </c>
      <c r="P147" s="4" t="n">
        <v>7</v>
      </c>
    </row>
    <row r="148" customFormat="false" ht="15" hidden="false" customHeight="true" outlineLevel="0" collapsed="false">
      <c r="A148" s="3" t="s">
        <v>209</v>
      </c>
      <c r="B148" s="3" t="n">
        <v>56</v>
      </c>
      <c r="C148" s="3"/>
      <c r="D148" s="3" t="s">
        <v>48</v>
      </c>
      <c r="E148" s="3" t="s">
        <v>44</v>
      </c>
      <c r="F148" s="3" t="s">
        <v>58</v>
      </c>
      <c r="G148" s="3" t="s">
        <v>21</v>
      </c>
      <c r="H148" s="3" t="s">
        <v>31</v>
      </c>
      <c r="I148" s="3" t="s">
        <v>32</v>
      </c>
      <c r="J148" s="3" t="n">
        <v>20725</v>
      </c>
      <c r="K148" s="3" t="s">
        <v>70</v>
      </c>
      <c r="L148" s="3" t="n">
        <v>3</v>
      </c>
      <c r="M148" s="3" t="s">
        <v>46</v>
      </c>
      <c r="N148" s="3" t="s">
        <v>71</v>
      </c>
      <c r="O148" s="3" t="n">
        <v>4</v>
      </c>
      <c r="P148" s="3" t="n">
        <v>1</v>
      </c>
    </row>
    <row r="149" customFormat="false" ht="15" hidden="false" customHeight="true" outlineLevel="0" collapsed="false">
      <c r="A149" s="4" t="s">
        <v>210</v>
      </c>
      <c r="B149" s="4" t="n">
        <v>51</v>
      </c>
      <c r="C149" s="4" t="s">
        <v>17</v>
      </c>
      <c r="D149" s="4" t="s">
        <v>36</v>
      </c>
      <c r="E149" s="4" t="s">
        <v>37</v>
      </c>
      <c r="F149" s="4" t="s">
        <v>38</v>
      </c>
      <c r="G149" s="4" t="s">
        <v>21</v>
      </c>
      <c r="H149" s="4" t="s">
        <v>68</v>
      </c>
      <c r="I149" s="4" t="s">
        <v>60</v>
      </c>
      <c r="J149" s="4" t="n">
        <v>620</v>
      </c>
      <c r="K149" s="4" t="s">
        <v>33</v>
      </c>
      <c r="L149" s="4" t="n">
        <v>3</v>
      </c>
      <c r="M149" s="4" t="s">
        <v>25</v>
      </c>
      <c r="N149" s="4" t="s">
        <v>84</v>
      </c>
      <c r="O149" s="4" t="n">
        <v>2</v>
      </c>
      <c r="P149" s="4" t="n">
        <v>6</v>
      </c>
    </row>
    <row r="150" customFormat="false" ht="15" hidden="false" customHeight="true" outlineLevel="0" collapsed="false">
      <c r="A150" s="3" t="s">
        <v>211</v>
      </c>
      <c r="B150" s="3" t="n">
        <v>20</v>
      </c>
      <c r="C150" s="3" t="s">
        <v>17</v>
      </c>
      <c r="D150" s="3" t="s">
        <v>48</v>
      </c>
      <c r="E150" s="3" t="s">
        <v>49</v>
      </c>
      <c r="F150" s="3" t="s">
        <v>45</v>
      </c>
      <c r="G150" s="3" t="s">
        <v>21</v>
      </c>
      <c r="H150" s="3" t="s">
        <v>63</v>
      </c>
      <c r="I150" s="3" t="s">
        <v>60</v>
      </c>
      <c r="J150" s="3" t="n">
        <v>3987</v>
      </c>
      <c r="K150" s="3" t="s">
        <v>33</v>
      </c>
      <c r="L150" s="3" t="n">
        <v>4</v>
      </c>
      <c r="M150" s="3" t="s">
        <v>41</v>
      </c>
      <c r="N150" s="3" t="s">
        <v>71</v>
      </c>
      <c r="O150" s="3" t="n">
        <v>4</v>
      </c>
      <c r="P150" s="3" t="n">
        <v>3</v>
      </c>
    </row>
    <row r="151" customFormat="false" ht="15" hidden="false" customHeight="true" outlineLevel="0" collapsed="false">
      <c r="A151" s="4" t="s">
        <v>212</v>
      </c>
      <c r="B151" s="4" t="n">
        <v>57</v>
      </c>
      <c r="C151" s="4" t="s">
        <v>28</v>
      </c>
      <c r="D151" s="4" t="s">
        <v>48</v>
      </c>
      <c r="E151" s="4" t="s">
        <v>30</v>
      </c>
      <c r="F151" s="4" t="s">
        <v>58</v>
      </c>
      <c r="G151" s="4" t="s">
        <v>21</v>
      </c>
      <c r="H151" s="4" t="s">
        <v>31</v>
      </c>
      <c r="I151" s="4" t="s">
        <v>40</v>
      </c>
      <c r="J151" s="4" t="n">
        <v>6929</v>
      </c>
      <c r="K151" s="4" t="s">
        <v>33</v>
      </c>
      <c r="L151" s="4" t="n">
        <v>1</v>
      </c>
      <c r="M151" s="4" t="s">
        <v>46</v>
      </c>
      <c r="N151" s="4" t="s">
        <v>34</v>
      </c>
      <c r="O151" s="4" t="n">
        <v>3</v>
      </c>
      <c r="P151" s="4" t="n">
        <v>4</v>
      </c>
    </row>
    <row r="152" customFormat="false" ht="15" hidden="false" customHeight="true" outlineLevel="0" collapsed="false">
      <c r="A152" s="3" t="s">
        <v>213</v>
      </c>
      <c r="B152" s="3" t="n">
        <v>27</v>
      </c>
      <c r="C152" s="3"/>
      <c r="D152" s="3" t="s">
        <v>18</v>
      </c>
      <c r="E152" s="3" t="s">
        <v>37</v>
      </c>
      <c r="F152" s="3" t="s">
        <v>58</v>
      </c>
      <c r="G152" s="3" t="s">
        <v>21</v>
      </c>
      <c r="H152" s="3" t="s">
        <v>56</v>
      </c>
      <c r="I152" s="3" t="s">
        <v>32</v>
      </c>
      <c r="J152" s="3" t="n">
        <v>10259</v>
      </c>
      <c r="K152" s="3" t="s">
        <v>24</v>
      </c>
      <c r="L152" s="3" t="n">
        <v>3</v>
      </c>
      <c r="M152" s="3" t="s">
        <v>41</v>
      </c>
      <c r="N152" s="3" t="s">
        <v>34</v>
      </c>
      <c r="O152" s="3" t="n">
        <v>1</v>
      </c>
      <c r="P152" s="3" t="n">
        <v>3</v>
      </c>
    </row>
    <row r="153" customFormat="false" ht="15" hidden="false" customHeight="true" outlineLevel="0" collapsed="false">
      <c r="A153" s="4" t="s">
        <v>214</v>
      </c>
      <c r="B153" s="4" t="n">
        <v>23</v>
      </c>
      <c r="C153" s="4" t="s">
        <v>28</v>
      </c>
      <c r="D153" s="4" t="s">
        <v>29</v>
      </c>
      <c r="E153" s="4" t="s">
        <v>19</v>
      </c>
      <c r="F153" s="4" t="s">
        <v>50</v>
      </c>
      <c r="G153" s="4" t="s">
        <v>51</v>
      </c>
      <c r="H153" s="4"/>
      <c r="I153" s="4"/>
      <c r="J153" s="4"/>
      <c r="K153" s="4"/>
      <c r="L153" s="4" t="n">
        <v>2</v>
      </c>
      <c r="M153" s="4" t="s">
        <v>46</v>
      </c>
      <c r="N153" s="4" t="s">
        <v>84</v>
      </c>
      <c r="O153" s="4" t="n">
        <v>2</v>
      </c>
      <c r="P153" s="4" t="n">
        <v>5</v>
      </c>
    </row>
    <row r="154" customFormat="false" ht="15" hidden="false" customHeight="true" outlineLevel="0" collapsed="false">
      <c r="A154" s="3" t="s">
        <v>215</v>
      </c>
      <c r="B154" s="3" t="n">
        <v>52</v>
      </c>
      <c r="C154" s="3" t="s">
        <v>17</v>
      </c>
      <c r="D154" s="3" t="s">
        <v>18</v>
      </c>
      <c r="E154" s="3" t="s">
        <v>54</v>
      </c>
      <c r="F154" s="3" t="s">
        <v>20</v>
      </c>
      <c r="G154" s="3" t="s">
        <v>21</v>
      </c>
      <c r="H154" s="3" t="s">
        <v>63</v>
      </c>
      <c r="I154" s="3" t="s">
        <v>69</v>
      </c>
      <c r="J154" s="3" t="n">
        <v>3302</v>
      </c>
      <c r="K154" s="3" t="s">
        <v>70</v>
      </c>
      <c r="L154" s="3" t="n">
        <v>1</v>
      </c>
      <c r="M154" s="3" t="s">
        <v>46</v>
      </c>
      <c r="N154" s="3" t="s">
        <v>71</v>
      </c>
      <c r="O154" s="3" t="n">
        <v>5</v>
      </c>
      <c r="P154" s="3" t="n">
        <v>5</v>
      </c>
    </row>
    <row r="155" customFormat="false" ht="15" hidden="false" customHeight="true" outlineLevel="0" collapsed="false">
      <c r="A155" s="4" t="s">
        <v>216</v>
      </c>
      <c r="B155" s="4" t="n">
        <v>37</v>
      </c>
      <c r="C155" s="4" t="s">
        <v>17</v>
      </c>
      <c r="D155" s="4" t="s">
        <v>43</v>
      </c>
      <c r="E155" s="4" t="s">
        <v>44</v>
      </c>
      <c r="F155" s="4" t="s">
        <v>50</v>
      </c>
      <c r="G155" s="4" t="s">
        <v>21</v>
      </c>
      <c r="H155" s="4" t="s">
        <v>68</v>
      </c>
      <c r="I155" s="4" t="s">
        <v>40</v>
      </c>
      <c r="J155" s="4" t="n">
        <v>3367</v>
      </c>
      <c r="K155" s="4" t="s">
        <v>24</v>
      </c>
      <c r="L155" s="4" t="n">
        <v>3</v>
      </c>
      <c r="M155" s="4" t="s">
        <v>46</v>
      </c>
      <c r="N155" s="4" t="s">
        <v>26</v>
      </c>
      <c r="O155" s="4" t="n">
        <v>3</v>
      </c>
      <c r="P155" s="4" t="n">
        <v>5</v>
      </c>
    </row>
    <row r="156" customFormat="false" ht="15" hidden="false" customHeight="true" outlineLevel="0" collapsed="false">
      <c r="A156" s="3" t="s">
        <v>217</v>
      </c>
      <c r="B156" s="3" t="n">
        <v>34</v>
      </c>
      <c r="C156" s="3" t="s">
        <v>28</v>
      </c>
      <c r="D156" s="3" t="s">
        <v>18</v>
      </c>
      <c r="E156" s="3" t="s">
        <v>19</v>
      </c>
      <c r="F156" s="3" t="s">
        <v>50</v>
      </c>
      <c r="G156" s="3" t="s">
        <v>21</v>
      </c>
      <c r="H156" s="3" t="s">
        <v>63</v>
      </c>
      <c r="I156" s="3" t="s">
        <v>23</v>
      </c>
      <c r="J156" s="3" t="n">
        <v>5027</v>
      </c>
      <c r="K156" s="3" t="s">
        <v>24</v>
      </c>
      <c r="L156" s="3" t="n">
        <v>2</v>
      </c>
      <c r="M156" s="3" t="s">
        <v>25</v>
      </c>
      <c r="N156" s="3" t="s">
        <v>34</v>
      </c>
      <c r="O156" s="3" t="n">
        <v>2</v>
      </c>
      <c r="P156" s="3" t="n">
        <v>9</v>
      </c>
    </row>
    <row r="157" customFormat="false" ht="15" hidden="false" customHeight="true" outlineLevel="0" collapsed="false">
      <c r="A157" s="4" t="s">
        <v>218</v>
      </c>
      <c r="B157" s="4" t="n">
        <v>23</v>
      </c>
      <c r="C157" s="4" t="s">
        <v>17</v>
      </c>
      <c r="D157" s="4" t="s">
        <v>79</v>
      </c>
      <c r="E157" s="4" t="s">
        <v>30</v>
      </c>
      <c r="F157" s="4" t="s">
        <v>45</v>
      </c>
      <c r="G157" s="4" t="s">
        <v>51</v>
      </c>
      <c r="H157" s="4"/>
      <c r="I157" s="4"/>
      <c r="J157" s="4"/>
      <c r="K157" s="4"/>
      <c r="L157" s="4" t="n">
        <v>3</v>
      </c>
      <c r="M157" s="4" t="s">
        <v>41</v>
      </c>
      <c r="N157" s="4" t="s">
        <v>84</v>
      </c>
      <c r="O157" s="4" t="n">
        <v>4</v>
      </c>
      <c r="P157" s="4" t="n">
        <v>9</v>
      </c>
    </row>
    <row r="158" customFormat="false" ht="15" hidden="false" customHeight="true" outlineLevel="0" collapsed="false">
      <c r="A158" s="3" t="s">
        <v>219</v>
      </c>
      <c r="B158" s="3" t="n">
        <v>30</v>
      </c>
      <c r="C158" s="3" t="s">
        <v>17</v>
      </c>
      <c r="D158" s="3" t="s">
        <v>79</v>
      </c>
      <c r="E158" s="3" t="s">
        <v>19</v>
      </c>
      <c r="F158" s="3" t="s">
        <v>38</v>
      </c>
      <c r="G158" s="3" t="s">
        <v>21</v>
      </c>
      <c r="H158" s="3" t="s">
        <v>39</v>
      </c>
      <c r="I158" s="3" t="s">
        <v>69</v>
      </c>
      <c r="J158" s="3" t="n">
        <v>1250</v>
      </c>
      <c r="K158" s="3" t="s">
        <v>33</v>
      </c>
      <c r="L158" s="3"/>
      <c r="M158" s="3" t="s">
        <v>41</v>
      </c>
      <c r="N158" s="3" t="s">
        <v>71</v>
      </c>
      <c r="O158" s="3" t="n">
        <v>4</v>
      </c>
      <c r="P158" s="3" t="n">
        <v>8</v>
      </c>
    </row>
    <row r="159" customFormat="false" ht="15" hidden="false" customHeight="true" outlineLevel="0" collapsed="false">
      <c r="A159" s="4" t="s">
        <v>220</v>
      </c>
      <c r="B159" s="4" t="n">
        <v>40</v>
      </c>
      <c r="C159" s="4" t="s">
        <v>17</v>
      </c>
      <c r="D159" s="4" t="s">
        <v>43</v>
      </c>
      <c r="E159" s="4" t="s">
        <v>30</v>
      </c>
      <c r="F159" s="4" t="s">
        <v>20</v>
      </c>
      <c r="G159" s="4" t="s">
        <v>51</v>
      </c>
      <c r="H159" s="4"/>
      <c r="I159" s="4"/>
      <c r="J159" s="4"/>
      <c r="K159" s="4"/>
      <c r="L159" s="4" t="n">
        <v>3</v>
      </c>
      <c r="M159" s="4" t="s">
        <v>25</v>
      </c>
      <c r="N159" s="4" t="s">
        <v>71</v>
      </c>
      <c r="O159" s="4" t="n">
        <v>3</v>
      </c>
      <c r="P159" s="4" t="n">
        <v>5</v>
      </c>
    </row>
    <row r="160" customFormat="false" ht="15" hidden="false" customHeight="true" outlineLevel="0" collapsed="false">
      <c r="A160" s="3" t="s">
        <v>221</v>
      </c>
      <c r="B160" s="3" t="n">
        <v>60</v>
      </c>
      <c r="C160" s="3" t="s">
        <v>28</v>
      </c>
      <c r="D160" s="3" t="s">
        <v>79</v>
      </c>
      <c r="E160" s="3" t="s">
        <v>54</v>
      </c>
      <c r="F160" s="3" t="s">
        <v>58</v>
      </c>
      <c r="G160" s="3" t="s">
        <v>21</v>
      </c>
      <c r="H160" s="3" t="s">
        <v>22</v>
      </c>
      <c r="I160" s="3" t="s">
        <v>60</v>
      </c>
      <c r="J160" s="3" t="n">
        <v>18604</v>
      </c>
      <c r="K160" s="3" t="s">
        <v>33</v>
      </c>
      <c r="L160" s="3" t="n">
        <v>5</v>
      </c>
      <c r="M160" s="3" t="s">
        <v>46</v>
      </c>
      <c r="N160" s="3" t="s">
        <v>84</v>
      </c>
      <c r="O160" s="3" t="n">
        <v>3</v>
      </c>
      <c r="P160" s="3" t="n">
        <v>7</v>
      </c>
    </row>
    <row r="161" customFormat="false" ht="15" hidden="false" customHeight="true" outlineLevel="0" collapsed="false">
      <c r="A161" s="4" t="s">
        <v>222</v>
      </c>
      <c r="B161" s="4" t="n">
        <v>28</v>
      </c>
      <c r="C161" s="4" t="s">
        <v>17</v>
      </c>
      <c r="D161" s="4" t="s">
        <v>53</v>
      </c>
      <c r="E161" s="4" t="s">
        <v>30</v>
      </c>
      <c r="F161" s="4"/>
      <c r="G161" s="4" t="s">
        <v>21</v>
      </c>
      <c r="H161" s="4" t="s">
        <v>66</v>
      </c>
      <c r="I161" s="4" t="s">
        <v>40</v>
      </c>
      <c r="J161" s="4" t="n">
        <v>1215</v>
      </c>
      <c r="K161" s="4" t="s">
        <v>24</v>
      </c>
      <c r="L161" s="4" t="n">
        <v>1</v>
      </c>
      <c r="M161" s="4" t="s">
        <v>25</v>
      </c>
      <c r="N161" s="4" t="s">
        <v>34</v>
      </c>
      <c r="O161" s="4" t="n">
        <v>4</v>
      </c>
      <c r="P161" s="4" t="n">
        <v>10</v>
      </c>
    </row>
    <row r="162" customFormat="false" ht="15" hidden="false" customHeight="true" outlineLevel="0" collapsed="false">
      <c r="A162" s="3" t="s">
        <v>223</v>
      </c>
      <c r="B162" s="3" t="n">
        <v>28</v>
      </c>
      <c r="C162" s="3"/>
      <c r="D162" s="3" t="s">
        <v>53</v>
      </c>
      <c r="E162" s="3" t="s">
        <v>54</v>
      </c>
      <c r="F162" s="3" t="s">
        <v>38</v>
      </c>
      <c r="G162" s="3" t="s">
        <v>21</v>
      </c>
      <c r="H162" s="3" t="s">
        <v>66</v>
      </c>
      <c r="I162" s="3" t="s">
        <v>23</v>
      </c>
      <c r="J162" s="3" t="n">
        <v>899</v>
      </c>
      <c r="K162" s="3" t="s">
        <v>70</v>
      </c>
      <c r="L162" s="3" t="n">
        <v>1</v>
      </c>
      <c r="M162" s="3" t="s">
        <v>46</v>
      </c>
      <c r="N162" s="3" t="s">
        <v>34</v>
      </c>
      <c r="O162" s="3" t="n">
        <v>4</v>
      </c>
      <c r="P162" s="3" t="n">
        <v>9</v>
      </c>
    </row>
    <row r="163" customFormat="false" ht="15" hidden="false" customHeight="true" outlineLevel="0" collapsed="false">
      <c r="A163" s="4" t="s">
        <v>224</v>
      </c>
      <c r="B163" s="4" t="n">
        <v>36</v>
      </c>
      <c r="C163" s="4" t="s">
        <v>28</v>
      </c>
      <c r="D163" s="4" t="s">
        <v>43</v>
      </c>
      <c r="E163" s="4" t="s">
        <v>30</v>
      </c>
      <c r="F163" s="4" t="s">
        <v>58</v>
      </c>
      <c r="G163" s="4" t="s">
        <v>21</v>
      </c>
      <c r="H163" s="4" t="s">
        <v>63</v>
      </c>
      <c r="I163" s="4" t="s">
        <v>23</v>
      </c>
      <c r="J163" s="4" t="n">
        <v>10388</v>
      </c>
      <c r="K163" s="4" t="s">
        <v>70</v>
      </c>
      <c r="L163" s="4" t="n">
        <v>3</v>
      </c>
      <c r="M163" s="4" t="s">
        <v>25</v>
      </c>
      <c r="N163" s="4" t="s">
        <v>71</v>
      </c>
      <c r="O163" s="4" t="n">
        <v>1</v>
      </c>
      <c r="P163" s="4" t="n">
        <v>7</v>
      </c>
    </row>
    <row r="164" customFormat="false" ht="15" hidden="false" customHeight="true" outlineLevel="0" collapsed="false">
      <c r="A164" s="3" t="s">
        <v>225</v>
      </c>
      <c r="B164" s="3" t="n">
        <v>33</v>
      </c>
      <c r="C164" s="3" t="s">
        <v>28</v>
      </c>
      <c r="D164" s="3" t="s">
        <v>62</v>
      </c>
      <c r="E164" s="3" t="s">
        <v>44</v>
      </c>
      <c r="F164" s="3" t="s">
        <v>45</v>
      </c>
      <c r="G164" s="3" t="s">
        <v>21</v>
      </c>
      <c r="H164" s="3" t="s">
        <v>63</v>
      </c>
      <c r="I164" s="3" t="s">
        <v>60</v>
      </c>
      <c r="J164" s="3" t="n">
        <v>3197</v>
      </c>
      <c r="K164" s="3" t="s">
        <v>70</v>
      </c>
      <c r="L164" s="3"/>
      <c r="M164" s="3" t="s">
        <v>41</v>
      </c>
      <c r="N164" s="3" t="s">
        <v>26</v>
      </c>
      <c r="O164" s="3" t="n">
        <v>5</v>
      </c>
      <c r="P164" s="3" t="n">
        <v>7</v>
      </c>
    </row>
    <row r="165" customFormat="false" ht="15" hidden="false" customHeight="true" outlineLevel="0" collapsed="false">
      <c r="A165" s="4" t="s">
        <v>226</v>
      </c>
      <c r="B165" s="4" t="n">
        <v>23</v>
      </c>
      <c r="C165" s="4" t="s">
        <v>28</v>
      </c>
      <c r="D165" s="4" t="s">
        <v>48</v>
      </c>
      <c r="E165" s="4" t="s">
        <v>37</v>
      </c>
      <c r="F165" s="4" t="s">
        <v>45</v>
      </c>
      <c r="G165" s="4" t="s">
        <v>51</v>
      </c>
      <c r="H165" s="4"/>
      <c r="I165" s="4"/>
      <c r="J165" s="4"/>
      <c r="K165" s="4"/>
      <c r="L165" s="4" t="n">
        <v>1</v>
      </c>
      <c r="M165" s="4" t="s">
        <v>41</v>
      </c>
      <c r="N165" s="4" t="s">
        <v>84</v>
      </c>
      <c r="O165" s="4" t="n">
        <v>5</v>
      </c>
      <c r="P165" s="4" t="n">
        <v>6</v>
      </c>
    </row>
    <row r="166" customFormat="false" ht="15" hidden="false" customHeight="true" outlineLevel="0" collapsed="false">
      <c r="A166" s="3" t="s">
        <v>227</v>
      </c>
      <c r="B166" s="3" t="n">
        <v>37</v>
      </c>
      <c r="C166" s="3" t="s">
        <v>28</v>
      </c>
      <c r="D166" s="3" t="s">
        <v>29</v>
      </c>
      <c r="E166" s="3" t="s">
        <v>54</v>
      </c>
      <c r="F166" s="3"/>
      <c r="G166" s="3" t="s">
        <v>51</v>
      </c>
      <c r="H166" s="3"/>
      <c r="I166" s="3"/>
      <c r="J166" s="3"/>
      <c r="K166" s="3"/>
      <c r="L166" s="3" t="n">
        <v>3</v>
      </c>
      <c r="M166" s="3" t="s">
        <v>46</v>
      </c>
      <c r="N166" s="3" t="s">
        <v>26</v>
      </c>
      <c r="O166" s="3" t="n">
        <v>4</v>
      </c>
      <c r="P166" s="3" t="n">
        <v>2</v>
      </c>
    </row>
    <row r="167" customFormat="false" ht="15" hidden="false" customHeight="true" outlineLevel="0" collapsed="false">
      <c r="A167" s="4" t="s">
        <v>228</v>
      </c>
      <c r="B167" s="4" t="n">
        <v>47</v>
      </c>
      <c r="C167" s="4" t="s">
        <v>17</v>
      </c>
      <c r="D167" s="4" t="s">
        <v>48</v>
      </c>
      <c r="E167" s="4" t="s">
        <v>54</v>
      </c>
      <c r="F167" s="4" t="s">
        <v>20</v>
      </c>
      <c r="G167" s="4" t="s">
        <v>21</v>
      </c>
      <c r="H167" s="4" t="s">
        <v>22</v>
      </c>
      <c r="I167" s="4" t="s">
        <v>40</v>
      </c>
      <c r="J167" s="4" t="n">
        <v>2425</v>
      </c>
      <c r="K167" s="4" t="s">
        <v>33</v>
      </c>
      <c r="L167" s="4" t="n">
        <v>2</v>
      </c>
      <c r="M167" s="4" t="s">
        <v>46</v>
      </c>
      <c r="N167" s="4" t="s">
        <v>71</v>
      </c>
      <c r="O167" s="4" t="n">
        <v>2</v>
      </c>
      <c r="P167" s="4" t="n">
        <v>5</v>
      </c>
    </row>
    <row r="168" customFormat="false" ht="15" hidden="false" customHeight="true" outlineLevel="0" collapsed="false">
      <c r="A168" s="3" t="s">
        <v>229</v>
      </c>
      <c r="B168" s="3" t="n">
        <v>41</v>
      </c>
      <c r="C168" s="3" t="s">
        <v>28</v>
      </c>
      <c r="D168" s="3" t="s">
        <v>79</v>
      </c>
      <c r="E168" s="3" t="s">
        <v>44</v>
      </c>
      <c r="F168" s="3" t="s">
        <v>58</v>
      </c>
      <c r="G168" s="3" t="s">
        <v>21</v>
      </c>
      <c r="H168" s="3" t="s">
        <v>31</v>
      </c>
      <c r="I168" s="3" t="s">
        <v>69</v>
      </c>
      <c r="J168" s="3" t="n">
        <v>15780</v>
      </c>
      <c r="K168" s="3" t="s">
        <v>33</v>
      </c>
      <c r="L168" s="3" t="n">
        <v>4</v>
      </c>
      <c r="M168" s="3" t="s">
        <v>41</v>
      </c>
      <c r="N168" s="3" t="s">
        <v>71</v>
      </c>
      <c r="O168" s="3" t="n">
        <v>3</v>
      </c>
      <c r="P168" s="3" t="n">
        <v>6</v>
      </c>
    </row>
    <row r="169" customFormat="false" ht="15" hidden="false" customHeight="true" outlineLevel="0" collapsed="false">
      <c r="A169" s="4" t="s">
        <v>230</v>
      </c>
      <c r="B169" s="4" t="n">
        <v>43</v>
      </c>
      <c r="C169" s="4" t="s">
        <v>28</v>
      </c>
      <c r="D169" s="4" t="s">
        <v>53</v>
      </c>
      <c r="E169" s="4" t="s">
        <v>49</v>
      </c>
      <c r="F169" s="4" t="s">
        <v>50</v>
      </c>
      <c r="G169" s="4" t="s">
        <v>21</v>
      </c>
      <c r="H169" s="4" t="s">
        <v>66</v>
      </c>
      <c r="I169" s="4" t="s">
        <v>40</v>
      </c>
      <c r="J169" s="4" t="n">
        <v>2794</v>
      </c>
      <c r="K169" s="4" t="s">
        <v>33</v>
      </c>
      <c r="L169" s="4" t="n">
        <v>4</v>
      </c>
      <c r="M169" s="4" t="s">
        <v>25</v>
      </c>
      <c r="N169" s="4" t="s">
        <v>26</v>
      </c>
      <c r="O169" s="4" t="n">
        <v>2</v>
      </c>
      <c r="P169" s="4" t="n">
        <v>6</v>
      </c>
    </row>
    <row r="170" customFormat="false" ht="15" hidden="false" customHeight="true" outlineLevel="0" collapsed="false">
      <c r="A170" s="3" t="s">
        <v>231</v>
      </c>
      <c r="B170" s="3" t="n">
        <v>24</v>
      </c>
      <c r="C170" s="3" t="s">
        <v>28</v>
      </c>
      <c r="D170" s="3" t="s">
        <v>114</v>
      </c>
      <c r="E170" s="3" t="s">
        <v>54</v>
      </c>
      <c r="F170" s="3" t="s">
        <v>58</v>
      </c>
      <c r="G170" s="3" t="s">
        <v>21</v>
      </c>
      <c r="H170" s="3" t="s">
        <v>31</v>
      </c>
      <c r="I170" s="3" t="s">
        <v>32</v>
      </c>
      <c r="J170" s="3" t="n">
        <v>19724</v>
      </c>
      <c r="K170" s="3" t="s">
        <v>33</v>
      </c>
      <c r="L170" s="3" t="n">
        <v>5</v>
      </c>
      <c r="M170" s="3" t="s">
        <v>46</v>
      </c>
      <c r="N170" s="3" t="s">
        <v>34</v>
      </c>
      <c r="O170" s="3" t="n">
        <v>1</v>
      </c>
      <c r="P170" s="3" t="n">
        <v>5</v>
      </c>
    </row>
    <row r="171" customFormat="false" ht="15" hidden="false" customHeight="true" outlineLevel="0" collapsed="false">
      <c r="A171" s="4" t="s">
        <v>232</v>
      </c>
      <c r="B171" s="4" t="n">
        <v>51</v>
      </c>
      <c r="C171" s="4" t="s">
        <v>17</v>
      </c>
      <c r="D171" s="4" t="s">
        <v>53</v>
      </c>
      <c r="E171" s="4" t="s">
        <v>49</v>
      </c>
      <c r="F171" s="4" t="s">
        <v>45</v>
      </c>
      <c r="G171" s="4" t="s">
        <v>21</v>
      </c>
      <c r="H171" s="4" t="s">
        <v>56</v>
      </c>
      <c r="I171" s="4" t="s">
        <v>23</v>
      </c>
      <c r="J171" s="4" t="n">
        <v>9246</v>
      </c>
      <c r="K171" s="4" t="s">
        <v>70</v>
      </c>
      <c r="L171" s="4" t="n">
        <v>5</v>
      </c>
      <c r="M171" s="4" t="s">
        <v>46</v>
      </c>
      <c r="N171" s="4" t="s">
        <v>34</v>
      </c>
      <c r="O171" s="4" t="n">
        <v>5</v>
      </c>
      <c r="P171" s="4" t="n">
        <v>2</v>
      </c>
    </row>
    <row r="172" customFormat="false" ht="15" hidden="false" customHeight="true" outlineLevel="0" collapsed="false">
      <c r="A172" s="3" t="s">
        <v>233</v>
      </c>
      <c r="B172" s="3" t="n">
        <v>39</v>
      </c>
      <c r="C172" s="3" t="s">
        <v>17</v>
      </c>
      <c r="D172" s="3" t="s">
        <v>36</v>
      </c>
      <c r="E172" s="3" t="s">
        <v>19</v>
      </c>
      <c r="F172" s="3" t="s">
        <v>20</v>
      </c>
      <c r="G172" s="3" t="s">
        <v>21</v>
      </c>
      <c r="H172" s="3" t="s">
        <v>39</v>
      </c>
      <c r="I172" s="3" t="s">
        <v>40</v>
      </c>
      <c r="J172" s="3" t="n">
        <v>2840</v>
      </c>
      <c r="K172" s="3" t="s">
        <v>33</v>
      </c>
      <c r="L172" s="3" t="n">
        <v>5</v>
      </c>
      <c r="M172" s="3" t="s">
        <v>46</v>
      </c>
      <c r="N172" s="3" t="s">
        <v>84</v>
      </c>
      <c r="O172" s="3" t="n">
        <v>3</v>
      </c>
      <c r="P172" s="3" t="n">
        <v>6</v>
      </c>
    </row>
    <row r="173" customFormat="false" ht="15" hidden="false" customHeight="true" outlineLevel="0" collapsed="false">
      <c r="A173" s="4" t="s">
        <v>234</v>
      </c>
      <c r="B173" s="4" t="n">
        <v>18</v>
      </c>
      <c r="C173" s="4" t="s">
        <v>17</v>
      </c>
      <c r="D173" s="4" t="s">
        <v>65</v>
      </c>
      <c r="E173" s="4" t="s">
        <v>19</v>
      </c>
      <c r="F173" s="4" t="s">
        <v>58</v>
      </c>
      <c r="G173" s="4" t="s">
        <v>21</v>
      </c>
      <c r="H173" s="4" t="s">
        <v>68</v>
      </c>
      <c r="I173" s="4" t="s">
        <v>23</v>
      </c>
      <c r="J173" s="4" t="n">
        <v>17164</v>
      </c>
      <c r="K173" s="4" t="s">
        <v>24</v>
      </c>
      <c r="L173" s="4" t="n">
        <v>1</v>
      </c>
      <c r="M173" s="4" t="s">
        <v>25</v>
      </c>
      <c r="N173" s="4" t="s">
        <v>26</v>
      </c>
      <c r="O173" s="4" t="n">
        <v>1</v>
      </c>
      <c r="P173" s="4" t="n">
        <v>2</v>
      </c>
    </row>
    <row r="174" customFormat="false" ht="15" hidden="false" customHeight="true" outlineLevel="0" collapsed="false">
      <c r="A174" s="3" t="s">
        <v>235</v>
      </c>
      <c r="B174" s="3" t="n">
        <v>46</v>
      </c>
      <c r="C174" s="3" t="s">
        <v>28</v>
      </c>
      <c r="D174" s="3" t="s">
        <v>114</v>
      </c>
      <c r="E174" s="3" t="s">
        <v>44</v>
      </c>
      <c r="F174" s="3" t="s">
        <v>58</v>
      </c>
      <c r="G174" s="3" t="s">
        <v>21</v>
      </c>
      <c r="H174" s="3" t="s">
        <v>31</v>
      </c>
      <c r="I174" s="3" t="s">
        <v>60</v>
      </c>
      <c r="J174" s="3" t="n">
        <v>6256</v>
      </c>
      <c r="K174" s="3" t="s">
        <v>24</v>
      </c>
      <c r="L174" s="3" t="n">
        <v>3</v>
      </c>
      <c r="M174" s="3" t="s">
        <v>46</v>
      </c>
      <c r="N174" s="3" t="s">
        <v>34</v>
      </c>
      <c r="O174" s="3" t="n">
        <v>2</v>
      </c>
      <c r="P174" s="3" t="n">
        <v>5</v>
      </c>
    </row>
    <row r="175" customFormat="false" ht="15" hidden="false" customHeight="true" outlineLevel="0" collapsed="false">
      <c r="A175" s="4" t="s">
        <v>236</v>
      </c>
      <c r="B175" s="4" t="n">
        <v>50</v>
      </c>
      <c r="C175" s="4" t="s">
        <v>17</v>
      </c>
      <c r="D175" s="4" t="s">
        <v>43</v>
      </c>
      <c r="E175" s="4" t="s">
        <v>44</v>
      </c>
      <c r="F175" s="4" t="s">
        <v>38</v>
      </c>
      <c r="G175" s="4" t="s">
        <v>21</v>
      </c>
      <c r="H175" s="4" t="s">
        <v>31</v>
      </c>
      <c r="I175" s="4" t="s">
        <v>60</v>
      </c>
      <c r="J175" s="4" t="n">
        <v>388</v>
      </c>
      <c r="K175" s="4" t="s">
        <v>33</v>
      </c>
      <c r="L175" s="4" t="n">
        <v>4</v>
      </c>
      <c r="M175" s="4" t="s">
        <v>25</v>
      </c>
      <c r="N175" s="4" t="s">
        <v>26</v>
      </c>
      <c r="O175" s="4" t="n">
        <v>1</v>
      </c>
      <c r="P175" s="4" t="n">
        <v>3</v>
      </c>
    </row>
    <row r="176" customFormat="false" ht="15" hidden="false" customHeight="true" outlineLevel="0" collapsed="false">
      <c r="A176" s="3" t="s">
        <v>237</v>
      </c>
      <c r="B176" s="3" t="n">
        <v>36</v>
      </c>
      <c r="C176" s="3" t="s">
        <v>28</v>
      </c>
      <c r="D176" s="3" t="s">
        <v>43</v>
      </c>
      <c r="E176" s="3" t="s">
        <v>44</v>
      </c>
      <c r="F176" s="3" t="s">
        <v>20</v>
      </c>
      <c r="G176" s="3" t="s">
        <v>21</v>
      </c>
      <c r="H176" s="3" t="s">
        <v>68</v>
      </c>
      <c r="I176" s="3" t="s">
        <v>32</v>
      </c>
      <c r="J176" s="3" t="n">
        <v>3568</v>
      </c>
      <c r="K176" s="3" t="s">
        <v>33</v>
      </c>
      <c r="L176" s="3" t="n">
        <v>3</v>
      </c>
      <c r="M176" s="3" t="s">
        <v>41</v>
      </c>
      <c r="N176" s="3" t="s">
        <v>34</v>
      </c>
      <c r="O176" s="3" t="n">
        <v>1</v>
      </c>
      <c r="P176" s="3" t="n">
        <v>2</v>
      </c>
    </row>
    <row r="177" customFormat="false" ht="15" hidden="false" customHeight="true" outlineLevel="0" collapsed="false">
      <c r="A177" s="4" t="s">
        <v>238</v>
      </c>
      <c r="B177" s="4" t="n">
        <v>60</v>
      </c>
      <c r="C177" s="4" t="s">
        <v>17</v>
      </c>
      <c r="D177" s="4" t="s">
        <v>79</v>
      </c>
      <c r="E177" s="4" t="s">
        <v>30</v>
      </c>
      <c r="F177" s="4"/>
      <c r="G177" s="4" t="s">
        <v>51</v>
      </c>
      <c r="H177" s="4"/>
      <c r="I177" s="4"/>
      <c r="J177" s="4"/>
      <c r="K177" s="4"/>
      <c r="L177" s="4" t="n">
        <v>1</v>
      </c>
      <c r="M177" s="4" t="s">
        <v>46</v>
      </c>
      <c r="N177" s="4" t="s">
        <v>26</v>
      </c>
      <c r="O177" s="4" t="n">
        <v>3</v>
      </c>
      <c r="P177" s="4" t="n">
        <v>1</v>
      </c>
    </row>
    <row r="178" customFormat="false" ht="15" hidden="false" customHeight="true" outlineLevel="0" collapsed="false">
      <c r="A178" s="3" t="s">
        <v>239</v>
      </c>
      <c r="B178" s="3" t="n">
        <v>30</v>
      </c>
      <c r="C178" s="3" t="s">
        <v>28</v>
      </c>
      <c r="D178" s="3" t="s">
        <v>48</v>
      </c>
      <c r="E178" s="3" t="s">
        <v>49</v>
      </c>
      <c r="F178" s="3" t="s">
        <v>38</v>
      </c>
      <c r="G178" s="3" t="s">
        <v>21</v>
      </c>
      <c r="H178" s="3" t="s">
        <v>56</v>
      </c>
      <c r="I178" s="3" t="s">
        <v>40</v>
      </c>
      <c r="J178" s="3" t="n">
        <v>841</v>
      </c>
      <c r="K178" s="3" t="s">
        <v>24</v>
      </c>
      <c r="L178" s="3" t="n">
        <v>1</v>
      </c>
      <c r="M178" s="3" t="s">
        <v>46</v>
      </c>
      <c r="N178" s="3" t="s">
        <v>34</v>
      </c>
      <c r="O178" s="3" t="n">
        <v>4</v>
      </c>
      <c r="P178" s="3" t="n">
        <v>4</v>
      </c>
    </row>
    <row r="179" customFormat="false" ht="15" hidden="false" customHeight="true" outlineLevel="0" collapsed="false">
      <c r="A179" s="4" t="s">
        <v>240</v>
      </c>
      <c r="B179" s="4" t="n">
        <v>38</v>
      </c>
      <c r="C179" s="4" t="s">
        <v>17</v>
      </c>
      <c r="D179" s="4" t="s">
        <v>79</v>
      </c>
      <c r="E179" s="4" t="s">
        <v>37</v>
      </c>
      <c r="F179" s="4" t="s">
        <v>45</v>
      </c>
      <c r="G179" s="4" t="s">
        <v>21</v>
      </c>
      <c r="H179" s="4" t="s">
        <v>39</v>
      </c>
      <c r="I179" s="4" t="s">
        <v>60</v>
      </c>
      <c r="J179" s="4" t="n">
        <v>14762</v>
      </c>
      <c r="K179" s="4" t="s">
        <v>70</v>
      </c>
      <c r="L179" s="4" t="n">
        <v>2</v>
      </c>
      <c r="M179" s="4" t="s">
        <v>46</v>
      </c>
      <c r="N179" s="4" t="s">
        <v>26</v>
      </c>
      <c r="O179" s="4" t="n">
        <v>4</v>
      </c>
      <c r="P179" s="4" t="n">
        <v>8</v>
      </c>
    </row>
    <row r="180" customFormat="false" ht="15" hidden="false" customHeight="true" outlineLevel="0" collapsed="false">
      <c r="A180" s="3" t="s">
        <v>241</v>
      </c>
      <c r="B180" s="3"/>
      <c r="C180" s="3" t="s">
        <v>28</v>
      </c>
      <c r="D180" s="3" t="s">
        <v>48</v>
      </c>
      <c r="E180" s="3" t="s">
        <v>30</v>
      </c>
      <c r="F180" s="3" t="s">
        <v>20</v>
      </c>
      <c r="G180" s="3" t="s">
        <v>51</v>
      </c>
      <c r="H180" s="3"/>
      <c r="I180" s="3"/>
      <c r="J180" s="3"/>
      <c r="K180" s="3"/>
      <c r="L180" s="3" t="n">
        <v>1</v>
      </c>
      <c r="M180" s="3" t="s">
        <v>41</v>
      </c>
      <c r="N180" s="3" t="s">
        <v>34</v>
      </c>
      <c r="O180" s="3" t="n">
        <v>2</v>
      </c>
      <c r="P180" s="3" t="n">
        <v>4</v>
      </c>
    </row>
    <row r="181" customFormat="false" ht="15" hidden="false" customHeight="true" outlineLevel="0" collapsed="false">
      <c r="A181" s="4" t="s">
        <v>242</v>
      </c>
      <c r="B181" s="4" t="n">
        <v>55</v>
      </c>
      <c r="C181" s="4" t="s">
        <v>28</v>
      </c>
      <c r="D181" s="4" t="s">
        <v>114</v>
      </c>
      <c r="E181" s="4" t="s">
        <v>37</v>
      </c>
      <c r="F181" s="4" t="s">
        <v>38</v>
      </c>
      <c r="G181" s="4" t="s">
        <v>21</v>
      </c>
      <c r="H181" s="4" t="s">
        <v>56</v>
      </c>
      <c r="I181" s="4" t="s">
        <v>23</v>
      </c>
      <c r="J181" s="4" t="n">
        <v>882</v>
      </c>
      <c r="K181" s="4" t="s">
        <v>24</v>
      </c>
      <c r="L181" s="4" t="n">
        <v>3</v>
      </c>
      <c r="M181" s="4" t="s">
        <v>46</v>
      </c>
      <c r="N181" s="4" t="s">
        <v>34</v>
      </c>
      <c r="O181" s="4" t="n">
        <v>1</v>
      </c>
      <c r="P181" s="4" t="n">
        <v>3</v>
      </c>
    </row>
    <row r="182" customFormat="false" ht="15" hidden="false" customHeight="true" outlineLevel="0" collapsed="false">
      <c r="A182" s="3" t="s">
        <v>243</v>
      </c>
      <c r="B182" s="3" t="n">
        <v>41</v>
      </c>
      <c r="C182" s="3" t="s">
        <v>17</v>
      </c>
      <c r="D182" s="3" t="s">
        <v>79</v>
      </c>
      <c r="E182" s="3" t="s">
        <v>54</v>
      </c>
      <c r="F182" s="3" t="s">
        <v>58</v>
      </c>
      <c r="G182" s="3" t="s">
        <v>51</v>
      </c>
      <c r="H182" s="3"/>
      <c r="I182" s="3"/>
      <c r="J182" s="3"/>
      <c r="K182" s="3"/>
      <c r="L182" s="3" t="n">
        <v>3</v>
      </c>
      <c r="M182" s="3" t="s">
        <v>46</v>
      </c>
      <c r="N182" s="3" t="s">
        <v>34</v>
      </c>
      <c r="O182" s="3" t="n">
        <v>3</v>
      </c>
      <c r="P182" s="3" t="n">
        <v>2</v>
      </c>
    </row>
    <row r="183" customFormat="false" ht="15" hidden="false" customHeight="true" outlineLevel="0" collapsed="false">
      <c r="A183" s="4" t="s">
        <v>244</v>
      </c>
      <c r="B183" s="4" t="n">
        <v>32</v>
      </c>
      <c r="C183" s="4" t="s">
        <v>28</v>
      </c>
      <c r="D183" s="4" t="s">
        <v>29</v>
      </c>
      <c r="E183" s="4" t="s">
        <v>19</v>
      </c>
      <c r="F183" s="4" t="s">
        <v>58</v>
      </c>
      <c r="G183" s="4" t="s">
        <v>21</v>
      </c>
      <c r="H183" s="4" t="s">
        <v>31</v>
      </c>
      <c r="I183" s="4" t="s">
        <v>23</v>
      </c>
      <c r="J183" s="4" t="n">
        <v>6022</v>
      </c>
      <c r="K183" s="4" t="s">
        <v>70</v>
      </c>
      <c r="L183" s="4" t="n">
        <v>5</v>
      </c>
      <c r="M183" s="4" t="s">
        <v>41</v>
      </c>
      <c r="N183" s="4" t="s">
        <v>84</v>
      </c>
      <c r="O183" s="4" t="n">
        <v>3</v>
      </c>
      <c r="P183" s="4" t="n">
        <v>3</v>
      </c>
    </row>
    <row r="184" customFormat="false" ht="15" hidden="false" customHeight="true" outlineLevel="0" collapsed="false">
      <c r="A184" s="3" t="s">
        <v>245</v>
      </c>
      <c r="B184" s="3" t="n">
        <v>53</v>
      </c>
      <c r="C184" s="3" t="s">
        <v>17</v>
      </c>
      <c r="D184" s="3" t="s">
        <v>79</v>
      </c>
      <c r="E184" s="3" t="s">
        <v>19</v>
      </c>
      <c r="F184" s="3" t="s">
        <v>58</v>
      </c>
      <c r="G184" s="3" t="s">
        <v>21</v>
      </c>
      <c r="H184" s="3" t="s">
        <v>68</v>
      </c>
      <c r="I184" s="3" t="s">
        <v>23</v>
      </c>
      <c r="J184" s="3" t="n">
        <v>19619</v>
      </c>
      <c r="K184" s="3" t="s">
        <v>33</v>
      </c>
      <c r="L184" s="3" t="n">
        <v>4</v>
      </c>
      <c r="M184" s="3" t="s">
        <v>41</v>
      </c>
      <c r="N184" s="3" t="s">
        <v>34</v>
      </c>
      <c r="O184" s="3" t="n">
        <v>5</v>
      </c>
      <c r="P184" s="3" t="n">
        <v>1</v>
      </c>
    </row>
    <row r="185" customFormat="false" ht="15" hidden="false" customHeight="true" outlineLevel="0" collapsed="false">
      <c r="A185" s="4" t="s">
        <v>246</v>
      </c>
      <c r="B185" s="4" t="n">
        <v>20</v>
      </c>
      <c r="C185" s="4" t="s">
        <v>17</v>
      </c>
      <c r="D185" s="4" t="s">
        <v>29</v>
      </c>
      <c r="E185" s="4" t="s">
        <v>44</v>
      </c>
      <c r="F185" s="4" t="s">
        <v>20</v>
      </c>
      <c r="G185" s="4" t="s">
        <v>21</v>
      </c>
      <c r="H185" s="4" t="s">
        <v>56</v>
      </c>
      <c r="I185" s="4" t="s">
        <v>40</v>
      </c>
      <c r="J185" s="4" t="n">
        <v>2884</v>
      </c>
      <c r="K185" s="4" t="s">
        <v>24</v>
      </c>
      <c r="L185" s="4" t="n">
        <v>4</v>
      </c>
      <c r="M185" s="4" t="s">
        <v>25</v>
      </c>
      <c r="N185" s="4" t="s">
        <v>34</v>
      </c>
      <c r="O185" s="4" t="n">
        <v>3</v>
      </c>
      <c r="P185" s="4" t="n">
        <v>6</v>
      </c>
    </row>
    <row r="186" customFormat="false" ht="15" hidden="false" customHeight="true" outlineLevel="0" collapsed="false">
      <c r="A186" s="3" t="s">
        <v>247</v>
      </c>
      <c r="B186" s="3" t="n">
        <v>53</v>
      </c>
      <c r="C186" s="3" t="s">
        <v>28</v>
      </c>
      <c r="D186" s="3" t="s">
        <v>53</v>
      </c>
      <c r="E186" s="3" t="s">
        <v>54</v>
      </c>
      <c r="F186" s="3" t="s">
        <v>20</v>
      </c>
      <c r="G186" s="3" t="s">
        <v>21</v>
      </c>
      <c r="H186" s="3" t="s">
        <v>39</v>
      </c>
      <c r="I186" s="3" t="s">
        <v>23</v>
      </c>
      <c r="J186" s="3" t="n">
        <v>1444</v>
      </c>
      <c r="K186" s="3" t="s">
        <v>24</v>
      </c>
      <c r="L186" s="3" t="n">
        <v>3</v>
      </c>
      <c r="M186" s="3" t="s">
        <v>25</v>
      </c>
      <c r="N186" s="3" t="s">
        <v>71</v>
      </c>
      <c r="O186" s="3" t="n">
        <v>4</v>
      </c>
      <c r="P186" s="3" t="n">
        <v>3</v>
      </c>
    </row>
    <row r="187" customFormat="false" ht="15" hidden="false" customHeight="true" outlineLevel="0" collapsed="false">
      <c r="A187" s="4" t="s">
        <v>248</v>
      </c>
      <c r="B187" s="4" t="n">
        <v>56</v>
      </c>
      <c r="C187" s="4" t="s">
        <v>28</v>
      </c>
      <c r="D187" s="4" t="s">
        <v>48</v>
      </c>
      <c r="E187" s="4" t="s">
        <v>44</v>
      </c>
      <c r="F187" s="4" t="s">
        <v>38</v>
      </c>
      <c r="G187" s="4" t="s">
        <v>21</v>
      </c>
      <c r="H187" s="4" t="s">
        <v>39</v>
      </c>
      <c r="I187" s="4" t="s">
        <v>23</v>
      </c>
      <c r="J187" s="4" t="n">
        <v>372</v>
      </c>
      <c r="K187" s="4" t="s">
        <v>24</v>
      </c>
      <c r="L187" s="4" t="n">
        <v>2</v>
      </c>
      <c r="M187" s="4" t="s">
        <v>46</v>
      </c>
      <c r="N187" s="4" t="s">
        <v>34</v>
      </c>
      <c r="O187" s="4" t="n">
        <v>1</v>
      </c>
      <c r="P187" s="4" t="n">
        <v>10</v>
      </c>
    </row>
    <row r="188" customFormat="false" ht="15" hidden="false" customHeight="true" outlineLevel="0" collapsed="false">
      <c r="A188" s="3" t="s">
        <v>249</v>
      </c>
      <c r="B188" s="3" t="n">
        <v>27</v>
      </c>
      <c r="C188" s="3" t="s">
        <v>28</v>
      </c>
      <c r="D188" s="3" t="s">
        <v>36</v>
      </c>
      <c r="E188" s="3" t="s">
        <v>54</v>
      </c>
      <c r="F188" s="3" t="s">
        <v>38</v>
      </c>
      <c r="G188" s="3" t="s">
        <v>21</v>
      </c>
      <c r="H188" s="3" t="s">
        <v>39</v>
      </c>
      <c r="I188" s="3" t="s">
        <v>60</v>
      </c>
      <c r="J188" s="3" t="n">
        <v>1231</v>
      </c>
      <c r="K188" s="3" t="s">
        <v>33</v>
      </c>
      <c r="L188" s="3" t="n">
        <v>5</v>
      </c>
      <c r="M188" s="3" t="s">
        <v>46</v>
      </c>
      <c r="N188" s="3" t="s">
        <v>34</v>
      </c>
      <c r="O188" s="3" t="n">
        <v>1</v>
      </c>
      <c r="P188" s="3" t="n">
        <v>5</v>
      </c>
    </row>
    <row r="189" customFormat="false" ht="15" hidden="false" customHeight="true" outlineLevel="0" collapsed="false">
      <c r="A189" s="4" t="s">
        <v>250</v>
      </c>
      <c r="B189" s="4" t="n">
        <v>52</v>
      </c>
      <c r="C189" s="4" t="s">
        <v>28</v>
      </c>
      <c r="D189" s="4" t="s">
        <v>18</v>
      </c>
      <c r="E189" s="4" t="s">
        <v>30</v>
      </c>
      <c r="F189" s="4" t="s">
        <v>20</v>
      </c>
      <c r="G189" s="4" t="s">
        <v>51</v>
      </c>
      <c r="H189" s="4"/>
      <c r="I189" s="4"/>
      <c r="J189" s="4"/>
      <c r="K189" s="4"/>
      <c r="L189" s="4" t="n">
        <v>1</v>
      </c>
      <c r="M189" s="4" t="s">
        <v>41</v>
      </c>
      <c r="N189" s="4" t="s">
        <v>34</v>
      </c>
      <c r="O189" s="4" t="n">
        <v>3</v>
      </c>
      <c r="P189" s="4" t="n">
        <v>4</v>
      </c>
    </row>
    <row r="190" customFormat="false" ht="15" hidden="false" customHeight="true" outlineLevel="0" collapsed="false">
      <c r="A190" s="3" t="s">
        <v>251</v>
      </c>
      <c r="B190" s="3" t="n">
        <v>20</v>
      </c>
      <c r="C190" s="3" t="s">
        <v>17</v>
      </c>
      <c r="D190" s="3" t="s">
        <v>65</v>
      </c>
      <c r="E190" s="3" t="s">
        <v>37</v>
      </c>
      <c r="F190" s="3" t="s">
        <v>20</v>
      </c>
      <c r="G190" s="3" t="s">
        <v>21</v>
      </c>
      <c r="H190" s="3" t="s">
        <v>56</v>
      </c>
      <c r="I190" s="3" t="s">
        <v>23</v>
      </c>
      <c r="J190" s="3" t="n">
        <v>1188</v>
      </c>
      <c r="K190" s="3" t="s">
        <v>70</v>
      </c>
      <c r="L190" s="3" t="n">
        <v>5</v>
      </c>
      <c r="M190" s="3" t="s">
        <v>41</v>
      </c>
      <c r="N190" s="3" t="s">
        <v>84</v>
      </c>
      <c r="O190" s="3" t="n">
        <v>1</v>
      </c>
      <c r="P190" s="3" t="n">
        <v>7</v>
      </c>
    </row>
    <row r="191" customFormat="false" ht="15" hidden="false" customHeight="true" outlineLevel="0" collapsed="false">
      <c r="A191" s="4" t="s">
        <v>252</v>
      </c>
      <c r="B191" s="4" t="n">
        <v>44</v>
      </c>
      <c r="C191" s="4" t="s">
        <v>28</v>
      </c>
      <c r="D191" s="4" t="s">
        <v>29</v>
      </c>
      <c r="E191" s="4" t="s">
        <v>30</v>
      </c>
      <c r="F191" s="4" t="s">
        <v>58</v>
      </c>
      <c r="G191" s="4" t="s">
        <v>21</v>
      </c>
      <c r="H191" s="4" t="s">
        <v>22</v>
      </c>
      <c r="I191" s="4" t="s">
        <v>60</v>
      </c>
      <c r="J191" s="4" t="n">
        <v>25458</v>
      </c>
      <c r="K191" s="4" t="s">
        <v>33</v>
      </c>
      <c r="L191" s="4" t="n">
        <v>1</v>
      </c>
      <c r="M191" s="4" t="s">
        <v>41</v>
      </c>
      <c r="N191" s="4" t="s">
        <v>34</v>
      </c>
      <c r="O191" s="4" t="n">
        <v>3</v>
      </c>
      <c r="P191" s="4" t="n">
        <v>3</v>
      </c>
    </row>
    <row r="192" customFormat="false" ht="15" hidden="false" customHeight="true" outlineLevel="0" collapsed="false">
      <c r="A192" s="3" t="s">
        <v>253</v>
      </c>
      <c r="B192" s="3" t="n">
        <v>27</v>
      </c>
      <c r="C192" s="3" t="s">
        <v>28</v>
      </c>
      <c r="D192" s="3" t="s">
        <v>43</v>
      </c>
      <c r="E192" s="3" t="s">
        <v>19</v>
      </c>
      <c r="F192" s="3" t="s">
        <v>50</v>
      </c>
      <c r="G192" s="3" t="s">
        <v>21</v>
      </c>
      <c r="H192" s="3" t="s">
        <v>66</v>
      </c>
      <c r="I192" s="3" t="s">
        <v>40</v>
      </c>
      <c r="J192" s="3"/>
      <c r="K192" s="3" t="s">
        <v>33</v>
      </c>
      <c r="L192" s="3" t="n">
        <v>5</v>
      </c>
      <c r="M192" s="3" t="s">
        <v>41</v>
      </c>
      <c r="N192" s="3" t="s">
        <v>84</v>
      </c>
      <c r="O192" s="3" t="n">
        <v>2</v>
      </c>
      <c r="P192" s="3" t="n">
        <v>2</v>
      </c>
    </row>
    <row r="193" customFormat="false" ht="15" hidden="false" customHeight="true" outlineLevel="0" collapsed="false">
      <c r="A193" s="4" t="s">
        <v>254</v>
      </c>
      <c r="B193" s="4" t="n">
        <v>40</v>
      </c>
      <c r="C193" s="4" t="s">
        <v>28</v>
      </c>
      <c r="D193" s="4" t="s">
        <v>18</v>
      </c>
      <c r="E193" s="4" t="s">
        <v>49</v>
      </c>
      <c r="F193" s="4" t="s">
        <v>45</v>
      </c>
      <c r="G193" s="4" t="s">
        <v>21</v>
      </c>
      <c r="H193" s="4" t="s">
        <v>39</v>
      </c>
      <c r="I193" s="4" t="s">
        <v>60</v>
      </c>
      <c r="J193" s="4"/>
      <c r="K193" s="4" t="s">
        <v>33</v>
      </c>
      <c r="L193" s="4" t="n">
        <v>1</v>
      </c>
      <c r="M193" s="4" t="s">
        <v>46</v>
      </c>
      <c r="N193" s="4" t="s">
        <v>71</v>
      </c>
      <c r="O193" s="4" t="n">
        <v>5</v>
      </c>
      <c r="P193" s="4" t="n">
        <v>10</v>
      </c>
    </row>
    <row r="194" customFormat="false" ht="15" hidden="false" customHeight="true" outlineLevel="0" collapsed="false">
      <c r="A194" s="3" t="s">
        <v>255</v>
      </c>
      <c r="B194" s="3" t="n">
        <v>33</v>
      </c>
      <c r="C194" s="3" t="s">
        <v>28</v>
      </c>
      <c r="D194" s="3" t="s">
        <v>43</v>
      </c>
      <c r="E194" s="3" t="s">
        <v>54</v>
      </c>
      <c r="F194" s="3" t="s">
        <v>38</v>
      </c>
      <c r="G194" s="3" t="s">
        <v>21</v>
      </c>
      <c r="H194" s="3" t="s">
        <v>68</v>
      </c>
      <c r="I194" s="3" t="s">
        <v>60</v>
      </c>
      <c r="J194" s="3" t="n">
        <v>860</v>
      </c>
      <c r="K194" s="3" t="s">
        <v>24</v>
      </c>
      <c r="L194" s="3" t="n">
        <v>2</v>
      </c>
      <c r="M194" s="3" t="s">
        <v>46</v>
      </c>
      <c r="N194" s="3" t="s">
        <v>26</v>
      </c>
      <c r="O194" s="3" t="n">
        <v>4</v>
      </c>
      <c r="P194" s="3" t="n">
        <v>8</v>
      </c>
    </row>
    <row r="195" customFormat="false" ht="15" hidden="false" customHeight="true" outlineLevel="0" collapsed="false">
      <c r="A195" s="4" t="s">
        <v>256</v>
      </c>
      <c r="B195" s="4" t="n">
        <v>38</v>
      </c>
      <c r="C195" s="4" t="s">
        <v>28</v>
      </c>
      <c r="D195" s="4" t="s">
        <v>48</v>
      </c>
      <c r="E195" s="4" t="s">
        <v>49</v>
      </c>
      <c r="F195" s="4" t="s">
        <v>20</v>
      </c>
      <c r="G195" s="4" t="s">
        <v>21</v>
      </c>
      <c r="H195" s="4" t="s">
        <v>68</v>
      </c>
      <c r="I195" s="4" t="s">
        <v>40</v>
      </c>
      <c r="J195" s="4" t="n">
        <v>3054</v>
      </c>
      <c r="K195" s="4" t="s">
        <v>24</v>
      </c>
      <c r="L195" s="4" t="n">
        <v>2</v>
      </c>
      <c r="M195" s="4" t="s">
        <v>41</v>
      </c>
      <c r="N195" s="4" t="s">
        <v>71</v>
      </c>
      <c r="O195" s="4" t="n">
        <v>5</v>
      </c>
      <c r="P195" s="4" t="n">
        <v>10</v>
      </c>
    </row>
    <row r="196" customFormat="false" ht="15" hidden="false" customHeight="true" outlineLevel="0" collapsed="false">
      <c r="A196" s="3" t="s">
        <v>257</v>
      </c>
      <c r="B196" s="3" t="n">
        <v>24</v>
      </c>
      <c r="C196" s="3" t="s">
        <v>28</v>
      </c>
      <c r="D196" s="3" t="s">
        <v>62</v>
      </c>
      <c r="E196" s="3" t="s">
        <v>19</v>
      </c>
      <c r="F196" s="3" t="s">
        <v>38</v>
      </c>
      <c r="G196" s="3" t="s">
        <v>21</v>
      </c>
      <c r="H196" s="3" t="s">
        <v>66</v>
      </c>
      <c r="I196" s="3" t="s">
        <v>23</v>
      </c>
      <c r="J196" s="3"/>
      <c r="K196" s="3" t="s">
        <v>33</v>
      </c>
      <c r="L196" s="3" t="n">
        <v>5</v>
      </c>
      <c r="M196" s="3" t="s">
        <v>46</v>
      </c>
      <c r="N196" s="3" t="s">
        <v>34</v>
      </c>
      <c r="O196" s="3" t="n">
        <v>3</v>
      </c>
      <c r="P196" s="3" t="n">
        <v>8</v>
      </c>
    </row>
    <row r="197" customFormat="false" ht="15" hidden="false" customHeight="true" outlineLevel="0" collapsed="false">
      <c r="A197" s="4" t="s">
        <v>258</v>
      </c>
      <c r="B197" s="4" t="n">
        <v>55</v>
      </c>
      <c r="C197" s="4" t="s">
        <v>28</v>
      </c>
      <c r="D197" s="4" t="s">
        <v>114</v>
      </c>
      <c r="E197" s="4" t="s">
        <v>30</v>
      </c>
      <c r="F197" s="4" t="s">
        <v>58</v>
      </c>
      <c r="G197" s="4" t="s">
        <v>21</v>
      </c>
      <c r="H197" s="4" t="s">
        <v>39</v>
      </c>
      <c r="I197" s="4" t="s">
        <v>32</v>
      </c>
      <c r="J197" s="4" t="n">
        <v>16125</v>
      </c>
      <c r="K197" s="4" t="s">
        <v>24</v>
      </c>
      <c r="L197" s="4"/>
      <c r="M197" s="4" t="s">
        <v>25</v>
      </c>
      <c r="N197" s="4" t="s">
        <v>84</v>
      </c>
      <c r="O197" s="4" t="n">
        <v>5</v>
      </c>
      <c r="P197" s="4" t="n">
        <v>3</v>
      </c>
    </row>
    <row r="198" customFormat="false" ht="15" hidden="false" customHeight="true" outlineLevel="0" collapsed="false">
      <c r="A198" s="3" t="s">
        <v>259</v>
      </c>
      <c r="B198" s="3" t="n">
        <v>60</v>
      </c>
      <c r="C198" s="3" t="s">
        <v>28</v>
      </c>
      <c r="D198" s="3" t="s">
        <v>36</v>
      </c>
      <c r="E198" s="3" t="s">
        <v>30</v>
      </c>
      <c r="F198" s="3" t="s">
        <v>50</v>
      </c>
      <c r="G198" s="3" t="s">
        <v>21</v>
      </c>
      <c r="H198" s="3" t="s">
        <v>31</v>
      </c>
      <c r="I198" s="3" t="s">
        <v>23</v>
      </c>
      <c r="J198" s="3" t="n">
        <v>2491</v>
      </c>
      <c r="K198" s="3" t="s">
        <v>24</v>
      </c>
      <c r="L198" s="3" t="n">
        <v>2</v>
      </c>
      <c r="M198" s="3" t="s">
        <v>41</v>
      </c>
      <c r="N198" s="3" t="s">
        <v>71</v>
      </c>
      <c r="O198" s="3" t="n">
        <v>1</v>
      </c>
      <c r="P198" s="3" t="n">
        <v>10</v>
      </c>
    </row>
    <row r="199" customFormat="false" ht="15" hidden="false" customHeight="true" outlineLevel="0" collapsed="false">
      <c r="A199" s="4" t="s">
        <v>260</v>
      </c>
      <c r="B199" s="4" t="n">
        <v>30</v>
      </c>
      <c r="C199" s="4" t="s">
        <v>17</v>
      </c>
      <c r="D199" s="4" t="s">
        <v>36</v>
      </c>
      <c r="E199" s="4" t="s">
        <v>49</v>
      </c>
      <c r="F199" s="4" t="s">
        <v>38</v>
      </c>
      <c r="G199" s="4" t="s">
        <v>21</v>
      </c>
      <c r="H199" s="4" t="s">
        <v>66</v>
      </c>
      <c r="I199" s="4" t="s">
        <v>60</v>
      </c>
      <c r="J199" s="4" t="n">
        <v>867</v>
      </c>
      <c r="K199" s="4" t="s">
        <v>33</v>
      </c>
      <c r="L199" s="4" t="n">
        <v>1</v>
      </c>
      <c r="M199" s="4" t="s">
        <v>41</v>
      </c>
      <c r="N199" s="4" t="s">
        <v>34</v>
      </c>
      <c r="O199" s="4" t="n">
        <v>5</v>
      </c>
      <c r="P199" s="4" t="n">
        <v>4</v>
      </c>
    </row>
    <row r="200" customFormat="false" ht="15" hidden="false" customHeight="true" outlineLevel="0" collapsed="false">
      <c r="A200" s="3" t="s">
        <v>261</v>
      </c>
      <c r="B200" s="3" t="n">
        <v>48</v>
      </c>
      <c r="C200" s="3" t="s">
        <v>28</v>
      </c>
      <c r="D200" s="3" t="s">
        <v>18</v>
      </c>
      <c r="E200" s="3" t="s">
        <v>49</v>
      </c>
      <c r="F200" s="3" t="s">
        <v>20</v>
      </c>
      <c r="G200" s="3" t="s">
        <v>21</v>
      </c>
      <c r="H200" s="3" t="s">
        <v>66</v>
      </c>
      <c r="I200" s="3" t="s">
        <v>32</v>
      </c>
      <c r="J200" s="3" t="n">
        <v>2374</v>
      </c>
      <c r="K200" s="3" t="s">
        <v>24</v>
      </c>
      <c r="L200" s="3" t="n">
        <v>5</v>
      </c>
      <c r="M200" s="3" t="s">
        <v>25</v>
      </c>
      <c r="N200" s="3" t="s">
        <v>71</v>
      </c>
      <c r="O200" s="3" t="n">
        <v>4</v>
      </c>
      <c r="P200" s="3" t="n">
        <v>8</v>
      </c>
    </row>
    <row r="201" customFormat="false" ht="15" hidden="false" customHeight="true" outlineLevel="0" collapsed="false">
      <c r="A201" s="4" t="s">
        <v>262</v>
      </c>
      <c r="B201" s="4" t="n">
        <v>38</v>
      </c>
      <c r="C201" s="4" t="s">
        <v>28</v>
      </c>
      <c r="D201" s="4" t="s">
        <v>53</v>
      </c>
      <c r="E201" s="4" t="s">
        <v>30</v>
      </c>
      <c r="F201" s="4" t="s">
        <v>50</v>
      </c>
      <c r="G201" s="4" t="s">
        <v>51</v>
      </c>
      <c r="H201" s="4" t="s">
        <v>63</v>
      </c>
      <c r="I201" s="4"/>
      <c r="J201" s="4"/>
      <c r="K201" s="4"/>
      <c r="L201" s="4" t="n">
        <v>1</v>
      </c>
      <c r="M201" s="4" t="s">
        <v>46</v>
      </c>
      <c r="N201" s="4" t="s">
        <v>34</v>
      </c>
      <c r="O201" s="4" t="n">
        <v>3</v>
      </c>
      <c r="P201" s="4" t="n">
        <v>10</v>
      </c>
    </row>
    <row r="202" customFormat="false" ht="15" hidden="false" customHeight="true" outlineLevel="0" collapsed="false">
      <c r="A202" s="3" t="s">
        <v>263</v>
      </c>
      <c r="B202" s="3" t="n">
        <v>50</v>
      </c>
      <c r="C202" s="3" t="s">
        <v>28</v>
      </c>
      <c r="D202" s="3" t="s">
        <v>18</v>
      </c>
      <c r="E202" s="3" t="s">
        <v>19</v>
      </c>
      <c r="F202" s="3" t="s">
        <v>45</v>
      </c>
      <c r="G202" s="3" t="s">
        <v>51</v>
      </c>
      <c r="H202" s="3"/>
      <c r="I202" s="3"/>
      <c r="J202" s="3"/>
      <c r="K202" s="3"/>
      <c r="L202" s="3" t="n">
        <v>3</v>
      </c>
      <c r="M202" s="3" t="s">
        <v>25</v>
      </c>
      <c r="N202" s="3" t="s">
        <v>71</v>
      </c>
      <c r="O202" s="3" t="n">
        <v>1</v>
      </c>
      <c r="P202" s="3" t="n">
        <v>4</v>
      </c>
    </row>
    <row r="203" customFormat="false" ht="15" hidden="false" customHeight="true" outlineLevel="0" collapsed="false">
      <c r="A203" s="4" t="s">
        <v>264</v>
      </c>
      <c r="B203" s="4" t="n">
        <v>50</v>
      </c>
      <c r="C203" s="4" t="s">
        <v>28</v>
      </c>
      <c r="D203" s="4" t="s">
        <v>18</v>
      </c>
      <c r="E203" s="4" t="s">
        <v>37</v>
      </c>
      <c r="F203" s="4" t="s">
        <v>58</v>
      </c>
      <c r="G203" s="4" t="s">
        <v>21</v>
      </c>
      <c r="H203" s="4" t="s">
        <v>68</v>
      </c>
      <c r="I203" s="4" t="s">
        <v>23</v>
      </c>
      <c r="J203" s="4" t="n">
        <v>7426</v>
      </c>
      <c r="K203" s="4" t="s">
        <v>33</v>
      </c>
      <c r="L203" s="4"/>
      <c r="M203" s="4" t="s">
        <v>25</v>
      </c>
      <c r="N203" s="4" t="s">
        <v>34</v>
      </c>
      <c r="O203" s="4" t="n">
        <v>1</v>
      </c>
      <c r="P203" s="4" t="n">
        <v>6</v>
      </c>
    </row>
    <row r="204" customFormat="false" ht="15" hidden="false" customHeight="true" outlineLevel="0" collapsed="false">
      <c r="A204" s="3" t="s">
        <v>265</v>
      </c>
      <c r="B204" s="3" t="n">
        <v>45</v>
      </c>
      <c r="C204" s="3" t="s">
        <v>17</v>
      </c>
      <c r="D204" s="3" t="s">
        <v>114</v>
      </c>
      <c r="E204" s="3" t="s">
        <v>44</v>
      </c>
      <c r="F204" s="3"/>
      <c r="G204" s="3" t="s">
        <v>51</v>
      </c>
      <c r="H204" s="3"/>
      <c r="I204" s="3"/>
      <c r="J204" s="3"/>
      <c r="K204" s="3"/>
      <c r="L204" s="3" t="n">
        <v>1</v>
      </c>
      <c r="M204" s="3" t="s">
        <v>46</v>
      </c>
      <c r="N204" s="3" t="s">
        <v>71</v>
      </c>
      <c r="O204" s="3" t="n">
        <v>4</v>
      </c>
      <c r="P204" s="3" t="n">
        <v>3</v>
      </c>
    </row>
    <row r="205" customFormat="false" ht="15" hidden="false" customHeight="true" outlineLevel="0" collapsed="false">
      <c r="A205" s="4" t="s">
        <v>266</v>
      </c>
      <c r="B205" s="4" t="n">
        <v>46</v>
      </c>
      <c r="C205" s="4" t="s">
        <v>28</v>
      </c>
      <c r="D205" s="4" t="s">
        <v>62</v>
      </c>
      <c r="E205" s="4" t="s">
        <v>44</v>
      </c>
      <c r="F205" s="4" t="s">
        <v>20</v>
      </c>
      <c r="G205" s="4" t="s">
        <v>21</v>
      </c>
      <c r="H205" s="4" t="s">
        <v>68</v>
      </c>
      <c r="I205" s="4" t="s">
        <v>69</v>
      </c>
      <c r="J205" s="4" t="n">
        <v>3717</v>
      </c>
      <c r="K205" s="4" t="s">
        <v>24</v>
      </c>
      <c r="L205" s="4" t="n">
        <v>3</v>
      </c>
      <c r="M205" s="4" t="s">
        <v>41</v>
      </c>
      <c r="N205" s="4" t="s">
        <v>26</v>
      </c>
      <c r="O205" s="4" t="n">
        <v>4</v>
      </c>
      <c r="P205" s="4" t="n">
        <v>9</v>
      </c>
    </row>
    <row r="206" customFormat="false" ht="15" hidden="false" customHeight="true" outlineLevel="0" collapsed="false">
      <c r="A206" s="3" t="s">
        <v>267</v>
      </c>
      <c r="B206" s="3" t="n">
        <v>58</v>
      </c>
      <c r="C206" s="3" t="s">
        <v>28</v>
      </c>
      <c r="D206" s="3" t="s">
        <v>114</v>
      </c>
      <c r="E206" s="3" t="s">
        <v>49</v>
      </c>
      <c r="F206" s="3" t="s">
        <v>58</v>
      </c>
      <c r="G206" s="3" t="s">
        <v>21</v>
      </c>
      <c r="H206" s="3" t="s">
        <v>39</v>
      </c>
      <c r="I206" s="3" t="s">
        <v>69</v>
      </c>
      <c r="J206" s="3" t="n">
        <v>11293</v>
      </c>
      <c r="K206" s="3" t="s">
        <v>24</v>
      </c>
      <c r="L206" s="3" t="n">
        <v>5</v>
      </c>
      <c r="M206" s="3" t="s">
        <v>41</v>
      </c>
      <c r="N206" s="3" t="s">
        <v>34</v>
      </c>
      <c r="O206" s="3" t="n">
        <v>3</v>
      </c>
      <c r="P206" s="3" t="n">
        <v>8</v>
      </c>
    </row>
    <row r="207" customFormat="false" ht="15" hidden="false" customHeight="true" outlineLevel="0" collapsed="false">
      <c r="A207" s="4" t="s">
        <v>268</v>
      </c>
      <c r="B207" s="4" t="n">
        <v>24</v>
      </c>
      <c r="C207" s="4" t="s">
        <v>28</v>
      </c>
      <c r="D207" s="4" t="s">
        <v>62</v>
      </c>
      <c r="E207" s="4" t="s">
        <v>19</v>
      </c>
      <c r="F207" s="4" t="s">
        <v>20</v>
      </c>
      <c r="G207" s="4" t="s">
        <v>21</v>
      </c>
      <c r="H207" s="4" t="s">
        <v>31</v>
      </c>
      <c r="I207" s="4" t="s">
        <v>60</v>
      </c>
      <c r="J207" s="4" t="n">
        <v>909</v>
      </c>
      <c r="K207" s="4" t="s">
        <v>24</v>
      </c>
      <c r="L207" s="4"/>
      <c r="M207" s="4" t="s">
        <v>41</v>
      </c>
      <c r="N207" s="4" t="s">
        <v>34</v>
      </c>
      <c r="O207" s="4" t="n">
        <v>4</v>
      </c>
      <c r="P207" s="4" t="n">
        <v>3</v>
      </c>
    </row>
    <row r="208" customFormat="false" ht="15" hidden="false" customHeight="true" outlineLevel="0" collapsed="false">
      <c r="A208" s="3" t="s">
        <v>269</v>
      </c>
      <c r="B208" s="3" t="n">
        <v>56</v>
      </c>
      <c r="C208" s="3" t="s">
        <v>17</v>
      </c>
      <c r="D208" s="3" t="s">
        <v>62</v>
      </c>
      <c r="E208" s="3" t="s">
        <v>49</v>
      </c>
      <c r="F208" s="3" t="s">
        <v>45</v>
      </c>
      <c r="G208" s="3" t="s">
        <v>21</v>
      </c>
      <c r="H208" s="3" t="s">
        <v>31</v>
      </c>
      <c r="I208" s="3"/>
      <c r="J208" s="3" t="n">
        <v>10434</v>
      </c>
      <c r="K208" s="3" t="s">
        <v>33</v>
      </c>
      <c r="L208" s="3" t="n">
        <v>4</v>
      </c>
      <c r="M208" s="3" t="s">
        <v>41</v>
      </c>
      <c r="N208" s="3" t="s">
        <v>34</v>
      </c>
      <c r="O208" s="3" t="n">
        <v>5</v>
      </c>
      <c r="P208" s="3" t="n">
        <v>1</v>
      </c>
    </row>
    <row r="209" customFormat="false" ht="15" hidden="false" customHeight="true" outlineLevel="0" collapsed="false">
      <c r="A209" s="4" t="s">
        <v>270</v>
      </c>
      <c r="B209" s="4" t="n">
        <v>54</v>
      </c>
      <c r="C209" s="4" t="s">
        <v>17</v>
      </c>
      <c r="D209" s="4" t="s">
        <v>18</v>
      </c>
      <c r="E209" s="4" t="s">
        <v>44</v>
      </c>
      <c r="F209" s="4" t="s">
        <v>58</v>
      </c>
      <c r="G209" s="4" t="s">
        <v>21</v>
      </c>
      <c r="H209" s="4" t="s">
        <v>39</v>
      </c>
      <c r="I209" s="4" t="s">
        <v>69</v>
      </c>
      <c r="J209" s="4"/>
      <c r="K209" s="4" t="s">
        <v>24</v>
      </c>
      <c r="L209" s="4" t="n">
        <v>5</v>
      </c>
      <c r="M209" s="4" t="s">
        <v>46</v>
      </c>
      <c r="N209" s="4" t="s">
        <v>34</v>
      </c>
      <c r="O209" s="4" t="n">
        <v>4</v>
      </c>
      <c r="P209" s="4" t="n">
        <v>1</v>
      </c>
    </row>
    <row r="210" customFormat="false" ht="15" hidden="false" customHeight="true" outlineLevel="0" collapsed="false">
      <c r="A210" s="3" t="s">
        <v>271</v>
      </c>
      <c r="B210" s="3" t="n">
        <v>50</v>
      </c>
      <c r="C210" s="3" t="s">
        <v>28</v>
      </c>
      <c r="D210" s="3" t="s">
        <v>62</v>
      </c>
      <c r="E210" s="3" t="s">
        <v>30</v>
      </c>
      <c r="F210" s="3" t="s">
        <v>20</v>
      </c>
      <c r="G210" s="3" t="s">
        <v>21</v>
      </c>
      <c r="H210" s="3" t="s">
        <v>31</v>
      </c>
      <c r="I210" s="3"/>
      <c r="J210" s="3" t="n">
        <v>1415</v>
      </c>
      <c r="K210" s="3" t="s">
        <v>33</v>
      </c>
      <c r="L210" s="3" t="n">
        <v>5</v>
      </c>
      <c r="M210" s="3" t="s">
        <v>46</v>
      </c>
      <c r="N210" s="3" t="s">
        <v>71</v>
      </c>
      <c r="O210" s="3" t="n">
        <v>5</v>
      </c>
      <c r="P210" s="3" t="n">
        <v>6</v>
      </c>
    </row>
    <row r="211" customFormat="false" ht="15" hidden="false" customHeight="true" outlineLevel="0" collapsed="false">
      <c r="A211" s="4" t="s">
        <v>272</v>
      </c>
      <c r="B211" s="4" t="n">
        <v>42</v>
      </c>
      <c r="C211" s="4" t="s">
        <v>28</v>
      </c>
      <c r="D211" s="4" t="s">
        <v>114</v>
      </c>
      <c r="E211" s="4" t="s">
        <v>44</v>
      </c>
      <c r="F211" s="4" t="s">
        <v>50</v>
      </c>
      <c r="G211" s="4" t="s">
        <v>51</v>
      </c>
      <c r="H211" s="4"/>
      <c r="I211" s="4"/>
      <c r="J211" s="4"/>
      <c r="K211" s="4"/>
      <c r="L211" s="4" t="n">
        <v>2</v>
      </c>
      <c r="M211" s="4" t="s">
        <v>46</v>
      </c>
      <c r="N211" s="4" t="s">
        <v>26</v>
      </c>
      <c r="O211" s="4" t="n">
        <v>3</v>
      </c>
      <c r="P211" s="4" t="n">
        <v>9</v>
      </c>
    </row>
    <row r="212" customFormat="false" ht="15" hidden="false" customHeight="true" outlineLevel="0" collapsed="false">
      <c r="A212" s="3" t="s">
        <v>273</v>
      </c>
      <c r="B212" s="3" t="n">
        <v>53</v>
      </c>
      <c r="C212" s="3" t="s">
        <v>17</v>
      </c>
      <c r="D212" s="3" t="s">
        <v>48</v>
      </c>
      <c r="E212" s="3" t="s">
        <v>49</v>
      </c>
      <c r="F212" s="3" t="s">
        <v>45</v>
      </c>
      <c r="G212" s="3" t="s">
        <v>21</v>
      </c>
      <c r="H212" s="3" t="s">
        <v>66</v>
      </c>
      <c r="I212" s="3" t="s">
        <v>40</v>
      </c>
      <c r="J212" s="3" t="n">
        <v>6110</v>
      </c>
      <c r="K212" s="3" t="s">
        <v>70</v>
      </c>
      <c r="L212" s="3" t="n">
        <v>4</v>
      </c>
      <c r="M212" s="3" t="s">
        <v>25</v>
      </c>
      <c r="N212" s="3" t="s">
        <v>71</v>
      </c>
      <c r="O212" s="3" t="n">
        <v>3</v>
      </c>
      <c r="P212" s="3" t="n">
        <v>8</v>
      </c>
    </row>
    <row r="213" customFormat="false" ht="15" hidden="false" customHeight="true" outlineLevel="0" collapsed="false">
      <c r="A213" s="4" t="s">
        <v>274</v>
      </c>
      <c r="B213" s="4" t="n">
        <v>60</v>
      </c>
      <c r="C213" s="4" t="s">
        <v>17</v>
      </c>
      <c r="D213" s="4" t="s">
        <v>29</v>
      </c>
      <c r="E213" s="4" t="s">
        <v>44</v>
      </c>
      <c r="F213" s="4" t="s">
        <v>58</v>
      </c>
      <c r="G213" s="4" t="s">
        <v>51</v>
      </c>
      <c r="H213" s="4"/>
      <c r="I213" s="4"/>
      <c r="J213" s="4"/>
      <c r="K213" s="4"/>
      <c r="L213" s="4" t="n">
        <v>2</v>
      </c>
      <c r="M213" s="4" t="s">
        <v>25</v>
      </c>
      <c r="N213" s="4" t="s">
        <v>34</v>
      </c>
      <c r="O213" s="4" t="n">
        <v>3</v>
      </c>
      <c r="P213" s="4" t="n">
        <v>3</v>
      </c>
    </row>
    <row r="214" customFormat="false" ht="15" hidden="false" customHeight="true" outlineLevel="0" collapsed="false">
      <c r="A214" s="3" t="s">
        <v>275</v>
      </c>
      <c r="B214" s="3" t="n">
        <v>32</v>
      </c>
      <c r="C214" s="3" t="s">
        <v>17</v>
      </c>
      <c r="D214" s="3" t="s">
        <v>114</v>
      </c>
      <c r="E214" s="3" t="s">
        <v>44</v>
      </c>
      <c r="F214" s="3" t="s">
        <v>58</v>
      </c>
      <c r="G214" s="3" t="s">
        <v>21</v>
      </c>
      <c r="H214" s="3" t="s">
        <v>39</v>
      </c>
      <c r="I214" s="3" t="s">
        <v>60</v>
      </c>
      <c r="J214" s="3" t="n">
        <v>27524</v>
      </c>
      <c r="K214" s="3" t="s">
        <v>24</v>
      </c>
      <c r="L214" s="3" t="n">
        <v>5</v>
      </c>
      <c r="M214" s="3" t="s">
        <v>46</v>
      </c>
      <c r="N214" s="3" t="s">
        <v>84</v>
      </c>
      <c r="O214" s="3" t="n">
        <v>5</v>
      </c>
      <c r="P214" s="3" t="n">
        <v>9</v>
      </c>
    </row>
    <row r="215" customFormat="false" ht="15" hidden="false" customHeight="true" outlineLevel="0" collapsed="false">
      <c r="A215" s="4" t="s">
        <v>276</v>
      </c>
      <c r="B215" s="4" t="n">
        <v>52</v>
      </c>
      <c r="C215" s="4" t="s">
        <v>28</v>
      </c>
      <c r="D215" s="4" t="s">
        <v>114</v>
      </c>
      <c r="E215" s="4" t="s">
        <v>19</v>
      </c>
      <c r="F215" s="4" t="s">
        <v>45</v>
      </c>
      <c r="G215" s="4" t="s">
        <v>21</v>
      </c>
      <c r="H215" s="4" t="s">
        <v>31</v>
      </c>
      <c r="I215" s="4" t="s">
        <v>69</v>
      </c>
      <c r="J215" s="4"/>
      <c r="K215" s="4" t="s">
        <v>24</v>
      </c>
      <c r="L215" s="4" t="n">
        <v>4</v>
      </c>
      <c r="M215" s="4" t="s">
        <v>25</v>
      </c>
      <c r="N215" s="4" t="s">
        <v>71</v>
      </c>
      <c r="O215" s="4" t="n">
        <v>2</v>
      </c>
      <c r="P215" s="4" t="n">
        <v>4</v>
      </c>
    </row>
    <row r="216" customFormat="false" ht="15" hidden="false" customHeight="true" outlineLevel="0" collapsed="false">
      <c r="A216" s="3" t="s">
        <v>277</v>
      </c>
      <c r="B216" s="3" t="n">
        <v>28</v>
      </c>
      <c r="C216" s="3" t="s">
        <v>17</v>
      </c>
      <c r="D216" s="3" t="s">
        <v>48</v>
      </c>
      <c r="E216" s="3" t="s">
        <v>54</v>
      </c>
      <c r="F216" s="3"/>
      <c r="G216" s="3" t="s">
        <v>51</v>
      </c>
      <c r="H216" s="3"/>
      <c r="I216" s="3"/>
      <c r="J216" s="3"/>
      <c r="K216" s="3"/>
      <c r="L216" s="3"/>
      <c r="M216" s="3" t="s">
        <v>41</v>
      </c>
      <c r="N216" s="3" t="s">
        <v>84</v>
      </c>
      <c r="O216" s="3" t="n">
        <v>5</v>
      </c>
      <c r="P216" s="3" t="n">
        <v>7</v>
      </c>
    </row>
    <row r="217" customFormat="false" ht="15" hidden="false" customHeight="true" outlineLevel="0" collapsed="false">
      <c r="A217" s="4" t="s">
        <v>278</v>
      </c>
      <c r="B217" s="4" t="n">
        <v>43</v>
      </c>
      <c r="C217" s="4" t="s">
        <v>17</v>
      </c>
      <c r="D217" s="4" t="s">
        <v>43</v>
      </c>
      <c r="E217" s="4" t="s">
        <v>37</v>
      </c>
      <c r="F217" s="4" t="s">
        <v>50</v>
      </c>
      <c r="G217" s="4" t="s">
        <v>21</v>
      </c>
      <c r="H217" s="4" t="s">
        <v>63</v>
      </c>
      <c r="I217" s="4" t="s">
        <v>23</v>
      </c>
      <c r="J217" s="4" t="n">
        <v>2250</v>
      </c>
      <c r="K217" s="4" t="s">
        <v>24</v>
      </c>
      <c r="L217" s="4" t="n">
        <v>5</v>
      </c>
      <c r="M217" s="4" t="s">
        <v>41</v>
      </c>
      <c r="N217" s="4" t="s">
        <v>34</v>
      </c>
      <c r="O217" s="4" t="n">
        <v>3</v>
      </c>
      <c r="P217" s="4" t="n">
        <v>4</v>
      </c>
    </row>
    <row r="218" customFormat="false" ht="15" hidden="false" customHeight="true" outlineLevel="0" collapsed="false">
      <c r="A218" s="3" t="s">
        <v>279</v>
      </c>
      <c r="B218" s="3" t="n">
        <v>22</v>
      </c>
      <c r="C218" s="3" t="s">
        <v>28</v>
      </c>
      <c r="D218" s="3" t="s">
        <v>79</v>
      </c>
      <c r="E218" s="3" t="s">
        <v>19</v>
      </c>
      <c r="F218" s="3" t="s">
        <v>50</v>
      </c>
      <c r="G218" s="3" t="s">
        <v>51</v>
      </c>
      <c r="H218" s="3"/>
      <c r="I218" s="3"/>
      <c r="J218" s="3"/>
      <c r="K218" s="3"/>
      <c r="L218" s="3" t="n">
        <v>1</v>
      </c>
      <c r="M218" s="3" t="s">
        <v>25</v>
      </c>
      <c r="N218" s="3" t="s">
        <v>34</v>
      </c>
      <c r="O218" s="3" t="n">
        <v>5</v>
      </c>
      <c r="P218" s="3" t="n">
        <v>2</v>
      </c>
    </row>
    <row r="219" customFormat="false" ht="15" hidden="false" customHeight="true" outlineLevel="0" collapsed="false">
      <c r="A219" s="4" t="s">
        <v>280</v>
      </c>
      <c r="B219" s="4" t="n">
        <v>19</v>
      </c>
      <c r="C219" s="4" t="s">
        <v>28</v>
      </c>
      <c r="D219" s="4" t="s">
        <v>18</v>
      </c>
      <c r="E219" s="4" t="s">
        <v>54</v>
      </c>
      <c r="F219" s="4" t="s">
        <v>20</v>
      </c>
      <c r="G219" s="4" t="s">
        <v>21</v>
      </c>
      <c r="H219" s="4" t="s">
        <v>56</v>
      </c>
      <c r="I219" s="4" t="s">
        <v>23</v>
      </c>
      <c r="J219" s="4" t="n">
        <v>1065</v>
      </c>
      <c r="K219" s="4" t="s">
        <v>70</v>
      </c>
      <c r="L219" s="4" t="n">
        <v>2</v>
      </c>
      <c r="M219" s="4" t="s">
        <v>46</v>
      </c>
      <c r="N219" s="4" t="s">
        <v>84</v>
      </c>
      <c r="O219" s="4" t="n">
        <v>5</v>
      </c>
      <c r="P219" s="4" t="n">
        <v>7</v>
      </c>
    </row>
    <row r="220" customFormat="false" ht="15" hidden="false" customHeight="true" outlineLevel="0" collapsed="false">
      <c r="A220" s="3" t="s">
        <v>281</v>
      </c>
      <c r="B220" s="3" t="n">
        <v>40</v>
      </c>
      <c r="C220" s="3" t="s">
        <v>28</v>
      </c>
      <c r="D220" s="3" t="s">
        <v>79</v>
      </c>
      <c r="E220" s="3" t="s">
        <v>30</v>
      </c>
      <c r="F220" s="3" t="s">
        <v>50</v>
      </c>
      <c r="G220" s="3" t="s">
        <v>51</v>
      </c>
      <c r="H220" s="3"/>
      <c r="I220" s="3"/>
      <c r="J220" s="3"/>
      <c r="K220" s="3"/>
      <c r="L220" s="3" t="n">
        <v>3</v>
      </c>
      <c r="M220" s="3" t="s">
        <v>46</v>
      </c>
      <c r="N220" s="3" t="s">
        <v>26</v>
      </c>
      <c r="O220" s="3" t="n">
        <v>2</v>
      </c>
      <c r="P220" s="3" t="n">
        <v>10</v>
      </c>
    </row>
    <row r="221" customFormat="false" ht="15" hidden="false" customHeight="true" outlineLevel="0" collapsed="false">
      <c r="A221" s="4" t="s">
        <v>282</v>
      </c>
      <c r="B221" s="4" t="n">
        <v>51</v>
      </c>
      <c r="C221" s="4" t="s">
        <v>17</v>
      </c>
      <c r="D221" s="4" t="s">
        <v>65</v>
      </c>
      <c r="E221" s="4" t="s">
        <v>19</v>
      </c>
      <c r="F221" s="4" t="s">
        <v>38</v>
      </c>
      <c r="G221" s="4" t="s">
        <v>21</v>
      </c>
      <c r="H221" s="4" t="s">
        <v>56</v>
      </c>
      <c r="I221" s="4" t="s">
        <v>60</v>
      </c>
      <c r="J221" s="4" t="n">
        <v>384</v>
      </c>
      <c r="K221" s="4" t="s">
        <v>24</v>
      </c>
      <c r="L221" s="4" t="n">
        <v>4</v>
      </c>
      <c r="M221" s="4" t="s">
        <v>41</v>
      </c>
      <c r="N221" s="4" t="s">
        <v>84</v>
      </c>
      <c r="O221" s="4" t="n">
        <v>2</v>
      </c>
      <c r="P221" s="4" t="n">
        <v>10</v>
      </c>
    </row>
    <row r="222" customFormat="false" ht="15" hidden="false" customHeight="true" outlineLevel="0" collapsed="false">
      <c r="A222" s="3" t="s">
        <v>283</v>
      </c>
      <c r="B222" s="3" t="n">
        <v>34</v>
      </c>
      <c r="C222" s="3" t="s">
        <v>28</v>
      </c>
      <c r="D222" s="3" t="s">
        <v>53</v>
      </c>
      <c r="E222" s="3" t="s">
        <v>44</v>
      </c>
      <c r="F222" s="3" t="s">
        <v>58</v>
      </c>
      <c r="G222" s="3" t="s">
        <v>21</v>
      </c>
      <c r="H222" s="3" t="s">
        <v>56</v>
      </c>
      <c r="I222" s="3" t="s">
        <v>40</v>
      </c>
      <c r="J222" s="3" t="n">
        <v>9024</v>
      </c>
      <c r="K222" s="3" t="s">
        <v>33</v>
      </c>
      <c r="L222" s="3" t="n">
        <v>3</v>
      </c>
      <c r="M222" s="3" t="s">
        <v>41</v>
      </c>
      <c r="N222" s="3" t="s">
        <v>34</v>
      </c>
      <c r="O222" s="3" t="n">
        <v>3</v>
      </c>
      <c r="P222" s="3" t="n">
        <v>3</v>
      </c>
    </row>
    <row r="223" customFormat="false" ht="15" hidden="false" customHeight="true" outlineLevel="0" collapsed="false">
      <c r="A223" s="4" t="s">
        <v>284</v>
      </c>
      <c r="B223" s="4" t="n">
        <v>59</v>
      </c>
      <c r="C223" s="4" t="s">
        <v>28</v>
      </c>
      <c r="D223" s="4" t="s">
        <v>48</v>
      </c>
      <c r="E223" s="4" t="s">
        <v>44</v>
      </c>
      <c r="F223" s="4" t="s">
        <v>20</v>
      </c>
      <c r="G223" s="4" t="s">
        <v>21</v>
      </c>
      <c r="H223" s="4" t="s">
        <v>22</v>
      </c>
      <c r="I223" s="4"/>
      <c r="J223" s="4" t="n">
        <v>2651</v>
      </c>
      <c r="K223" s="4" t="s">
        <v>33</v>
      </c>
      <c r="L223" s="4" t="n">
        <v>1</v>
      </c>
      <c r="M223" s="4" t="s">
        <v>41</v>
      </c>
      <c r="N223" s="4" t="s">
        <v>34</v>
      </c>
      <c r="O223" s="4" t="n">
        <v>3</v>
      </c>
      <c r="P223" s="4" t="n">
        <v>6</v>
      </c>
    </row>
    <row r="224" customFormat="false" ht="15" hidden="false" customHeight="true" outlineLevel="0" collapsed="false">
      <c r="A224" s="3" t="s">
        <v>285</v>
      </c>
      <c r="B224" s="3" t="n">
        <v>21</v>
      </c>
      <c r="C224" s="3" t="s">
        <v>28</v>
      </c>
      <c r="D224" s="3" t="s">
        <v>18</v>
      </c>
      <c r="E224" s="3" t="s">
        <v>30</v>
      </c>
      <c r="F224" s="3" t="s">
        <v>50</v>
      </c>
      <c r="G224" s="3" t="s">
        <v>21</v>
      </c>
      <c r="H224" s="3" t="s">
        <v>22</v>
      </c>
      <c r="I224" s="3" t="s">
        <v>40</v>
      </c>
      <c r="J224" s="3" t="n">
        <v>6234</v>
      </c>
      <c r="K224" s="3" t="s">
        <v>24</v>
      </c>
      <c r="L224" s="3" t="n">
        <v>2</v>
      </c>
      <c r="M224" s="3" t="s">
        <v>41</v>
      </c>
      <c r="N224" s="3" t="s">
        <v>34</v>
      </c>
      <c r="O224" s="3" t="n">
        <v>4</v>
      </c>
      <c r="P224" s="3" t="n">
        <v>4</v>
      </c>
    </row>
    <row r="225" customFormat="false" ht="15" hidden="false" customHeight="true" outlineLevel="0" collapsed="false">
      <c r="A225" s="4" t="s">
        <v>286</v>
      </c>
      <c r="B225" s="4" t="n">
        <v>58</v>
      </c>
      <c r="C225" s="4" t="s">
        <v>17</v>
      </c>
      <c r="D225" s="4" t="s">
        <v>114</v>
      </c>
      <c r="E225" s="4" t="s">
        <v>54</v>
      </c>
      <c r="F225" s="4" t="s">
        <v>45</v>
      </c>
      <c r="G225" s="4" t="s">
        <v>21</v>
      </c>
      <c r="H225" s="4" t="s">
        <v>31</v>
      </c>
      <c r="I225" s="4" t="s">
        <v>60</v>
      </c>
      <c r="J225" s="4" t="n">
        <v>10354</v>
      </c>
      <c r="K225" s="4" t="s">
        <v>24</v>
      </c>
      <c r="L225" s="4" t="n">
        <v>5</v>
      </c>
      <c r="M225" s="4" t="s">
        <v>25</v>
      </c>
      <c r="N225" s="4" t="s">
        <v>34</v>
      </c>
      <c r="O225" s="4" t="n">
        <v>3</v>
      </c>
      <c r="P225" s="4" t="n">
        <v>3</v>
      </c>
    </row>
    <row r="226" customFormat="false" ht="15" hidden="false" customHeight="true" outlineLevel="0" collapsed="false">
      <c r="A226" s="3" t="s">
        <v>287</v>
      </c>
      <c r="B226" s="3"/>
      <c r="C226" s="3" t="s">
        <v>28</v>
      </c>
      <c r="D226" s="3" t="s">
        <v>18</v>
      </c>
      <c r="E226" s="3" t="s">
        <v>54</v>
      </c>
      <c r="F226" s="3" t="s">
        <v>20</v>
      </c>
      <c r="G226" s="3" t="s">
        <v>21</v>
      </c>
      <c r="H226" s="3" t="s">
        <v>63</v>
      </c>
      <c r="I226" s="3" t="s">
        <v>23</v>
      </c>
      <c r="J226" s="3" t="n">
        <v>1326</v>
      </c>
      <c r="K226" s="3" t="s">
        <v>70</v>
      </c>
      <c r="L226" s="3" t="n">
        <v>1</v>
      </c>
      <c r="M226" s="3" t="s">
        <v>41</v>
      </c>
      <c r="N226" s="3" t="s">
        <v>71</v>
      </c>
      <c r="O226" s="3" t="n">
        <v>3</v>
      </c>
      <c r="P226" s="3" t="n">
        <v>3</v>
      </c>
    </row>
    <row r="227" customFormat="false" ht="15" hidden="false" customHeight="true" outlineLevel="0" collapsed="false">
      <c r="A227" s="4" t="s">
        <v>288</v>
      </c>
      <c r="B227" s="4" t="n">
        <v>27</v>
      </c>
      <c r="C227" s="4" t="s">
        <v>17</v>
      </c>
      <c r="D227" s="4" t="s">
        <v>43</v>
      </c>
      <c r="E227" s="4" t="s">
        <v>37</v>
      </c>
      <c r="F227" s="4" t="s">
        <v>20</v>
      </c>
      <c r="G227" s="4" t="s">
        <v>21</v>
      </c>
      <c r="H227" s="4" t="s">
        <v>31</v>
      </c>
      <c r="I227" s="4" t="s">
        <v>32</v>
      </c>
      <c r="J227" s="4" t="n">
        <v>1446</v>
      </c>
      <c r="K227" s="4" t="s">
        <v>24</v>
      </c>
      <c r="L227" s="4" t="n">
        <v>1</v>
      </c>
      <c r="M227" s="4" t="s">
        <v>46</v>
      </c>
      <c r="N227" s="4" t="s">
        <v>26</v>
      </c>
      <c r="O227" s="4" t="n">
        <v>5</v>
      </c>
      <c r="P227" s="4" t="n">
        <v>4</v>
      </c>
    </row>
    <row r="228" customFormat="false" ht="15" hidden="false" customHeight="true" outlineLevel="0" collapsed="false">
      <c r="A228" s="3" t="s">
        <v>289</v>
      </c>
      <c r="B228" s="3" t="n">
        <v>58</v>
      </c>
      <c r="C228" s="3" t="s">
        <v>28</v>
      </c>
      <c r="D228" s="3" t="s">
        <v>79</v>
      </c>
      <c r="E228" s="3" t="s">
        <v>30</v>
      </c>
      <c r="F228" s="3" t="s">
        <v>38</v>
      </c>
      <c r="G228" s="3" t="s">
        <v>51</v>
      </c>
      <c r="H228" s="3"/>
      <c r="I228" s="3"/>
      <c r="J228" s="3"/>
      <c r="K228" s="3"/>
      <c r="L228" s="3" t="n">
        <v>3</v>
      </c>
      <c r="M228" s="3" t="s">
        <v>25</v>
      </c>
      <c r="N228" s="3" t="s">
        <v>34</v>
      </c>
      <c r="O228" s="3" t="n">
        <v>2</v>
      </c>
      <c r="P228" s="3" t="n">
        <v>1</v>
      </c>
    </row>
    <row r="229" customFormat="false" ht="15" hidden="false" customHeight="true" outlineLevel="0" collapsed="false">
      <c r="A229" s="4" t="s">
        <v>290</v>
      </c>
      <c r="B229" s="4" t="n">
        <v>25</v>
      </c>
      <c r="C229" s="4" t="s">
        <v>28</v>
      </c>
      <c r="D229" s="4" t="s">
        <v>114</v>
      </c>
      <c r="E229" s="4" t="s">
        <v>37</v>
      </c>
      <c r="F229" s="4" t="s">
        <v>45</v>
      </c>
      <c r="G229" s="4" t="s">
        <v>21</v>
      </c>
      <c r="H229" s="4" t="s">
        <v>22</v>
      </c>
      <c r="I229" s="4" t="s">
        <v>60</v>
      </c>
      <c r="J229" s="4" t="n">
        <v>8925</v>
      </c>
      <c r="K229" s="4" t="s">
        <v>24</v>
      </c>
      <c r="L229" s="4" t="n">
        <v>2</v>
      </c>
      <c r="M229" s="4" t="s">
        <v>46</v>
      </c>
      <c r="N229" s="4" t="s">
        <v>34</v>
      </c>
      <c r="O229" s="4" t="n">
        <v>1</v>
      </c>
      <c r="P229" s="4" t="n">
        <v>4</v>
      </c>
    </row>
    <row r="230" customFormat="false" ht="15" hidden="false" customHeight="true" outlineLevel="0" collapsed="false">
      <c r="A230" s="3" t="s">
        <v>291</v>
      </c>
      <c r="B230" s="3" t="n">
        <v>59</v>
      </c>
      <c r="C230" s="3" t="s">
        <v>17</v>
      </c>
      <c r="D230" s="3" t="s">
        <v>36</v>
      </c>
      <c r="E230" s="3" t="s">
        <v>37</v>
      </c>
      <c r="F230" s="3" t="s">
        <v>38</v>
      </c>
      <c r="G230" s="3" t="s">
        <v>21</v>
      </c>
      <c r="H230" s="3" t="s">
        <v>68</v>
      </c>
      <c r="I230" s="3" t="s">
        <v>40</v>
      </c>
      <c r="J230" s="3" t="n">
        <v>843</v>
      </c>
      <c r="K230" s="3" t="s">
        <v>70</v>
      </c>
      <c r="L230" s="3" t="n">
        <v>2</v>
      </c>
      <c r="M230" s="3" t="s">
        <v>41</v>
      </c>
      <c r="N230" s="3" t="s">
        <v>71</v>
      </c>
      <c r="O230" s="3" t="n">
        <v>3</v>
      </c>
      <c r="P230" s="3" t="n">
        <v>7</v>
      </c>
    </row>
    <row r="231" customFormat="false" ht="15" hidden="false" customHeight="true" outlineLevel="0" collapsed="false">
      <c r="A231" s="4" t="s">
        <v>292</v>
      </c>
      <c r="B231" s="4" t="n">
        <v>37</v>
      </c>
      <c r="C231" s="4" t="s">
        <v>17</v>
      </c>
      <c r="D231" s="4" t="s">
        <v>62</v>
      </c>
      <c r="E231" s="4" t="s">
        <v>54</v>
      </c>
      <c r="F231" s="4" t="s">
        <v>38</v>
      </c>
      <c r="G231" s="4" t="s">
        <v>21</v>
      </c>
      <c r="H231" s="4" t="s">
        <v>39</v>
      </c>
      <c r="I231" s="4" t="s">
        <v>23</v>
      </c>
      <c r="J231" s="4" t="n">
        <v>753</v>
      </c>
      <c r="K231" s="4" t="s">
        <v>33</v>
      </c>
      <c r="L231" s="4" t="n">
        <v>2</v>
      </c>
      <c r="M231" s="4" t="s">
        <v>46</v>
      </c>
      <c r="N231" s="4" t="s">
        <v>71</v>
      </c>
      <c r="O231" s="4" t="n">
        <v>1</v>
      </c>
      <c r="P231" s="4" t="n">
        <v>1</v>
      </c>
    </row>
    <row r="232" customFormat="false" ht="15" hidden="false" customHeight="true" outlineLevel="0" collapsed="false">
      <c r="A232" s="3" t="s">
        <v>293</v>
      </c>
      <c r="B232" s="3"/>
      <c r="C232" s="3" t="s">
        <v>28</v>
      </c>
      <c r="D232" s="3" t="s">
        <v>43</v>
      </c>
      <c r="E232" s="3" t="s">
        <v>19</v>
      </c>
      <c r="F232" s="3" t="s">
        <v>58</v>
      </c>
      <c r="G232" s="3" t="s">
        <v>21</v>
      </c>
      <c r="H232" s="3" t="s">
        <v>66</v>
      </c>
      <c r="I232" s="3" t="s">
        <v>60</v>
      </c>
      <c r="J232" s="3" t="n">
        <v>9120</v>
      </c>
      <c r="K232" s="3" t="s">
        <v>33</v>
      </c>
      <c r="L232" s="3" t="n">
        <v>2</v>
      </c>
      <c r="M232" s="3" t="s">
        <v>25</v>
      </c>
      <c r="N232" s="3" t="s">
        <v>71</v>
      </c>
      <c r="O232" s="3" t="n">
        <v>4</v>
      </c>
      <c r="P232" s="3" t="n">
        <v>3</v>
      </c>
    </row>
    <row r="233" customFormat="false" ht="15" hidden="false" customHeight="true" outlineLevel="0" collapsed="false">
      <c r="A233" s="4" t="s">
        <v>294</v>
      </c>
      <c r="B233" s="4" t="n">
        <v>42</v>
      </c>
      <c r="C233" s="4" t="s">
        <v>17</v>
      </c>
      <c r="D233" s="4" t="s">
        <v>18</v>
      </c>
      <c r="E233" s="4" t="s">
        <v>54</v>
      </c>
      <c r="F233" s="4" t="s">
        <v>45</v>
      </c>
      <c r="G233" s="4" t="s">
        <v>21</v>
      </c>
      <c r="H233" s="4" t="s">
        <v>66</v>
      </c>
      <c r="I233" s="4" t="s">
        <v>60</v>
      </c>
      <c r="J233" s="4" t="n">
        <v>14361</v>
      </c>
      <c r="K233" s="4" t="s">
        <v>24</v>
      </c>
      <c r="L233" s="4" t="n">
        <v>5</v>
      </c>
      <c r="M233" s="4" t="s">
        <v>41</v>
      </c>
      <c r="N233" s="4" t="s">
        <v>26</v>
      </c>
      <c r="O233" s="4" t="n">
        <v>3</v>
      </c>
      <c r="P233" s="4" t="n">
        <v>3</v>
      </c>
    </row>
    <row r="234" customFormat="false" ht="15" hidden="false" customHeight="true" outlineLevel="0" collapsed="false">
      <c r="A234" s="3" t="s">
        <v>295</v>
      </c>
      <c r="B234" s="3" t="n">
        <v>28</v>
      </c>
      <c r="C234" s="3" t="s">
        <v>17</v>
      </c>
      <c r="D234" s="3" t="s">
        <v>43</v>
      </c>
      <c r="E234" s="3" t="s">
        <v>19</v>
      </c>
      <c r="F234" s="3" t="s">
        <v>38</v>
      </c>
      <c r="G234" s="3" t="s">
        <v>21</v>
      </c>
      <c r="H234" s="3" t="s">
        <v>31</v>
      </c>
      <c r="I234" s="3" t="s">
        <v>23</v>
      </c>
      <c r="J234" s="3" t="n">
        <v>285</v>
      </c>
      <c r="K234" s="3" t="s">
        <v>24</v>
      </c>
      <c r="L234" s="3" t="n">
        <v>1</v>
      </c>
      <c r="M234" s="3" t="s">
        <v>41</v>
      </c>
      <c r="N234" s="3" t="s">
        <v>34</v>
      </c>
      <c r="O234" s="3" t="n">
        <v>3</v>
      </c>
      <c r="P234" s="3" t="n">
        <v>6</v>
      </c>
    </row>
    <row r="235" customFormat="false" ht="15" hidden="false" customHeight="true" outlineLevel="0" collapsed="false">
      <c r="A235" s="4" t="s">
        <v>296</v>
      </c>
      <c r="B235" s="4" t="n">
        <v>52</v>
      </c>
      <c r="C235" s="4" t="s">
        <v>17</v>
      </c>
      <c r="D235" s="4" t="s">
        <v>114</v>
      </c>
      <c r="E235" s="4" t="s">
        <v>44</v>
      </c>
      <c r="F235" s="4" t="s">
        <v>50</v>
      </c>
      <c r="G235" s="4" t="s">
        <v>51</v>
      </c>
      <c r="H235" s="4"/>
      <c r="I235" s="4"/>
      <c r="J235" s="4"/>
      <c r="K235" s="4"/>
      <c r="L235" s="4"/>
      <c r="M235" s="4" t="s">
        <v>46</v>
      </c>
      <c r="N235" s="4" t="s">
        <v>26</v>
      </c>
      <c r="O235" s="4" t="n">
        <v>4</v>
      </c>
      <c r="P235" s="4" t="n">
        <v>3</v>
      </c>
    </row>
    <row r="236" customFormat="false" ht="15" hidden="false" customHeight="true" outlineLevel="0" collapsed="false">
      <c r="A236" s="3" t="s">
        <v>297</v>
      </c>
      <c r="B236" s="3" t="n">
        <v>59</v>
      </c>
      <c r="C236" s="3" t="s">
        <v>17</v>
      </c>
      <c r="D236" s="3" t="s">
        <v>48</v>
      </c>
      <c r="E236" s="3" t="s">
        <v>37</v>
      </c>
      <c r="F236" s="3" t="s">
        <v>38</v>
      </c>
      <c r="G236" s="3" t="s">
        <v>21</v>
      </c>
      <c r="H236" s="3" t="s">
        <v>66</v>
      </c>
      <c r="I236" s="3" t="s">
        <v>69</v>
      </c>
      <c r="J236" s="3" t="n">
        <v>1069</v>
      </c>
      <c r="K236" s="3" t="s">
        <v>33</v>
      </c>
      <c r="L236" s="3" t="n">
        <v>2</v>
      </c>
      <c r="M236" s="3" t="s">
        <v>41</v>
      </c>
      <c r="N236" s="3" t="s">
        <v>84</v>
      </c>
      <c r="O236" s="3" t="n">
        <v>5</v>
      </c>
      <c r="P236" s="3" t="n">
        <v>8</v>
      </c>
    </row>
    <row r="237" customFormat="false" ht="15" hidden="false" customHeight="true" outlineLevel="0" collapsed="false">
      <c r="A237" s="4" t="s">
        <v>298</v>
      </c>
      <c r="B237" s="4" t="n">
        <v>33</v>
      </c>
      <c r="C237" s="4" t="s">
        <v>28</v>
      </c>
      <c r="D237" s="4" t="s">
        <v>79</v>
      </c>
      <c r="E237" s="4" t="s">
        <v>19</v>
      </c>
      <c r="F237" s="4" t="s">
        <v>50</v>
      </c>
      <c r="G237" s="4" t="s">
        <v>21</v>
      </c>
      <c r="H237" s="4" t="s">
        <v>39</v>
      </c>
      <c r="I237" s="4" t="s">
        <v>69</v>
      </c>
      <c r="J237" s="4" t="n">
        <v>3867</v>
      </c>
      <c r="K237" s="4" t="s">
        <v>24</v>
      </c>
      <c r="L237" s="4" t="n">
        <v>4</v>
      </c>
      <c r="M237" s="4" t="s">
        <v>25</v>
      </c>
      <c r="N237" s="4" t="s">
        <v>26</v>
      </c>
      <c r="O237" s="4" t="n">
        <v>3</v>
      </c>
      <c r="P237" s="4" t="n">
        <v>9</v>
      </c>
    </row>
    <row r="238" customFormat="false" ht="15" hidden="false" customHeight="true" outlineLevel="0" collapsed="false">
      <c r="A238" s="3" t="s">
        <v>299</v>
      </c>
      <c r="B238" s="3" t="n">
        <v>27</v>
      </c>
      <c r="C238" s="3" t="s">
        <v>28</v>
      </c>
      <c r="D238" s="3" t="s">
        <v>79</v>
      </c>
      <c r="E238" s="3" t="s">
        <v>30</v>
      </c>
      <c r="F238" s="3" t="s">
        <v>50</v>
      </c>
      <c r="G238" s="3" t="s">
        <v>21</v>
      </c>
      <c r="H238" s="3" t="s">
        <v>66</v>
      </c>
      <c r="I238" s="3" t="s">
        <v>40</v>
      </c>
      <c r="J238" s="3" t="n">
        <v>4337</v>
      </c>
      <c r="K238" s="3" t="s">
        <v>33</v>
      </c>
      <c r="L238" s="3" t="n">
        <v>3</v>
      </c>
      <c r="M238" s="3" t="s">
        <v>46</v>
      </c>
      <c r="N238" s="3" t="s">
        <v>26</v>
      </c>
      <c r="O238" s="3" t="n">
        <v>2</v>
      </c>
      <c r="P238" s="3" t="n">
        <v>4</v>
      </c>
    </row>
    <row r="239" customFormat="false" ht="15" hidden="false" customHeight="true" outlineLevel="0" collapsed="false">
      <c r="A239" s="4" t="s">
        <v>300</v>
      </c>
      <c r="B239" s="4" t="n">
        <v>27</v>
      </c>
      <c r="C239" s="4" t="s">
        <v>28</v>
      </c>
      <c r="D239" s="4" t="s">
        <v>65</v>
      </c>
      <c r="E239" s="4" t="s">
        <v>30</v>
      </c>
      <c r="F239" s="4" t="s">
        <v>58</v>
      </c>
      <c r="G239" s="4" t="s">
        <v>21</v>
      </c>
      <c r="H239" s="4" t="s">
        <v>31</v>
      </c>
      <c r="I239" s="4" t="s">
        <v>40</v>
      </c>
      <c r="J239" s="4" t="n">
        <v>16163</v>
      </c>
      <c r="K239" s="4" t="s">
        <v>33</v>
      </c>
      <c r="L239" s="4" t="n">
        <v>2</v>
      </c>
      <c r="M239" s="4" t="s">
        <v>41</v>
      </c>
      <c r="N239" s="4" t="s">
        <v>84</v>
      </c>
      <c r="O239" s="4" t="n">
        <v>1</v>
      </c>
      <c r="P239" s="4" t="n">
        <v>7</v>
      </c>
    </row>
    <row r="240" customFormat="false" ht="15" hidden="false" customHeight="true" outlineLevel="0" collapsed="false">
      <c r="A240" s="3" t="s">
        <v>301</v>
      </c>
      <c r="B240" s="3" t="n">
        <v>28</v>
      </c>
      <c r="C240" s="3" t="s">
        <v>17</v>
      </c>
      <c r="D240" s="3" t="s">
        <v>53</v>
      </c>
      <c r="E240" s="3" t="s">
        <v>30</v>
      </c>
      <c r="F240" s="3"/>
      <c r="G240" s="3" t="s">
        <v>21</v>
      </c>
      <c r="H240" s="3" t="s">
        <v>66</v>
      </c>
      <c r="I240" s="3" t="s">
        <v>40</v>
      </c>
      <c r="J240" s="3" t="n">
        <v>1215</v>
      </c>
      <c r="K240" s="3" t="s">
        <v>24</v>
      </c>
      <c r="L240" s="3" t="n">
        <v>1</v>
      </c>
      <c r="M240" s="3" t="s">
        <v>25</v>
      </c>
      <c r="N240" s="3" t="s">
        <v>34</v>
      </c>
      <c r="O240" s="3" t="n">
        <v>4</v>
      </c>
      <c r="P240" s="3" t="n">
        <v>10</v>
      </c>
    </row>
    <row r="241" customFormat="false" ht="15" hidden="false" customHeight="true" outlineLevel="0" collapsed="false">
      <c r="A241" s="4" t="s">
        <v>302</v>
      </c>
      <c r="B241" s="4" t="n">
        <v>60</v>
      </c>
      <c r="C241" s="4" t="s">
        <v>17</v>
      </c>
      <c r="D241" s="4" t="s">
        <v>43</v>
      </c>
      <c r="E241" s="4" t="s">
        <v>49</v>
      </c>
      <c r="F241" s="4" t="s">
        <v>45</v>
      </c>
      <c r="G241" s="4" t="s">
        <v>21</v>
      </c>
      <c r="H241" s="4" t="s">
        <v>31</v>
      </c>
      <c r="I241" s="4" t="s">
        <v>40</v>
      </c>
      <c r="J241" s="4" t="n">
        <v>12935</v>
      </c>
      <c r="K241" s="4" t="s">
        <v>33</v>
      </c>
      <c r="L241" s="4" t="n">
        <v>3</v>
      </c>
      <c r="M241" s="4" t="s">
        <v>41</v>
      </c>
      <c r="N241" s="4" t="s">
        <v>34</v>
      </c>
      <c r="O241" s="4" t="n">
        <v>3</v>
      </c>
      <c r="P241" s="4" t="n">
        <v>4</v>
      </c>
    </row>
    <row r="242" customFormat="false" ht="15" hidden="false" customHeight="true" outlineLevel="0" collapsed="false">
      <c r="A242" s="3" t="s">
        <v>303</v>
      </c>
      <c r="B242" s="3" t="n">
        <v>30</v>
      </c>
      <c r="C242" s="3" t="s">
        <v>28</v>
      </c>
      <c r="D242" s="3" t="s">
        <v>62</v>
      </c>
      <c r="E242" s="3" t="s">
        <v>49</v>
      </c>
      <c r="F242" s="3" t="s">
        <v>50</v>
      </c>
      <c r="G242" s="3" t="s">
        <v>21</v>
      </c>
      <c r="H242" s="3" t="s">
        <v>66</v>
      </c>
      <c r="I242" s="3" t="s">
        <v>40</v>
      </c>
      <c r="J242" s="3" t="n">
        <v>3031</v>
      </c>
      <c r="K242" s="3" t="s">
        <v>24</v>
      </c>
      <c r="L242" s="3" t="n">
        <v>5</v>
      </c>
      <c r="M242" s="3" t="s">
        <v>41</v>
      </c>
      <c r="N242" s="3" t="s">
        <v>26</v>
      </c>
      <c r="O242" s="3" t="n">
        <v>1</v>
      </c>
      <c r="P242" s="3" t="n">
        <v>7</v>
      </c>
    </row>
    <row r="243" customFormat="false" ht="15" hidden="false" customHeight="true" outlineLevel="0" collapsed="false">
      <c r="A243" s="4" t="s">
        <v>304</v>
      </c>
      <c r="B243" s="4" t="n">
        <v>35</v>
      </c>
      <c r="C243" s="4" t="s">
        <v>17</v>
      </c>
      <c r="D243" s="4" t="s">
        <v>43</v>
      </c>
      <c r="E243" s="4" t="s">
        <v>37</v>
      </c>
      <c r="F243" s="4" t="s">
        <v>20</v>
      </c>
      <c r="G243" s="4" t="s">
        <v>21</v>
      </c>
      <c r="H243" s="4" t="s">
        <v>68</v>
      </c>
      <c r="I243" s="4" t="s">
        <v>32</v>
      </c>
      <c r="J243" s="4" t="n">
        <v>1109</v>
      </c>
      <c r="K243" s="4" t="s">
        <v>33</v>
      </c>
      <c r="L243" s="4" t="n">
        <v>5</v>
      </c>
      <c r="M243" s="4" t="s">
        <v>46</v>
      </c>
      <c r="N243" s="4" t="s">
        <v>34</v>
      </c>
      <c r="O243" s="4" t="n">
        <v>2</v>
      </c>
      <c r="P243" s="4" t="n">
        <v>7</v>
      </c>
    </row>
    <row r="244" customFormat="false" ht="15" hidden="false" customHeight="true" outlineLevel="0" collapsed="false">
      <c r="A244" s="3" t="s">
        <v>305</v>
      </c>
      <c r="B244" s="3" t="n">
        <v>41</v>
      </c>
      <c r="C244" s="3" t="s">
        <v>17</v>
      </c>
      <c r="D244" s="3" t="s">
        <v>62</v>
      </c>
      <c r="E244" s="3" t="s">
        <v>19</v>
      </c>
      <c r="F244" s="3" t="s">
        <v>38</v>
      </c>
      <c r="G244" s="3" t="s">
        <v>21</v>
      </c>
      <c r="H244" s="3" t="s">
        <v>68</v>
      </c>
      <c r="I244" s="3" t="s">
        <v>40</v>
      </c>
      <c r="J244" s="3" t="n">
        <v>952</v>
      </c>
      <c r="K244" s="3" t="s">
        <v>24</v>
      </c>
      <c r="L244" s="3" t="n">
        <v>3</v>
      </c>
      <c r="M244" s="3" t="s">
        <v>46</v>
      </c>
      <c r="N244" s="3" t="s">
        <v>34</v>
      </c>
      <c r="O244" s="3" t="n">
        <v>1</v>
      </c>
      <c r="P244" s="3" t="n">
        <v>6</v>
      </c>
    </row>
    <row r="245" customFormat="false" ht="15" hidden="false" customHeight="true" outlineLevel="0" collapsed="false">
      <c r="A245" s="4" t="s">
        <v>306</v>
      </c>
      <c r="B245" s="4" t="n">
        <v>39</v>
      </c>
      <c r="C245" s="4" t="s">
        <v>28</v>
      </c>
      <c r="D245" s="4" t="s">
        <v>53</v>
      </c>
      <c r="E245" s="4" t="s">
        <v>19</v>
      </c>
      <c r="F245" s="4" t="s">
        <v>50</v>
      </c>
      <c r="G245" s="4" t="s">
        <v>51</v>
      </c>
      <c r="H245" s="4"/>
      <c r="I245" s="4"/>
      <c r="J245" s="4"/>
      <c r="K245" s="4"/>
      <c r="L245" s="4" t="n">
        <v>3</v>
      </c>
      <c r="M245" s="4" t="s">
        <v>25</v>
      </c>
      <c r="N245" s="4" t="s">
        <v>34</v>
      </c>
      <c r="O245" s="4" t="n">
        <v>1</v>
      </c>
      <c r="P245" s="4" t="n">
        <v>6</v>
      </c>
    </row>
    <row r="246" customFormat="false" ht="15" hidden="false" customHeight="true" outlineLevel="0" collapsed="false">
      <c r="A246" s="3" t="s">
        <v>307</v>
      </c>
      <c r="B246" s="3" t="n">
        <v>20</v>
      </c>
      <c r="C246" s="3" t="s">
        <v>28</v>
      </c>
      <c r="D246" s="3" t="s">
        <v>36</v>
      </c>
      <c r="E246" s="3" t="s">
        <v>54</v>
      </c>
      <c r="F246" s="3" t="s">
        <v>58</v>
      </c>
      <c r="G246" s="3" t="s">
        <v>51</v>
      </c>
      <c r="H246" s="3" t="s">
        <v>39</v>
      </c>
      <c r="I246" s="3"/>
      <c r="J246" s="3"/>
      <c r="K246" s="3"/>
      <c r="L246" s="3" t="n">
        <v>3</v>
      </c>
      <c r="M246" s="3" t="s">
        <v>46</v>
      </c>
      <c r="N246" s="3" t="s">
        <v>34</v>
      </c>
      <c r="O246" s="3" t="n">
        <v>4</v>
      </c>
      <c r="P246" s="3" t="n">
        <v>4</v>
      </c>
    </row>
    <row r="247" customFormat="false" ht="15" hidden="false" customHeight="true" outlineLevel="0" collapsed="false">
      <c r="A247" s="4" t="s">
        <v>308</v>
      </c>
      <c r="B247" s="4" t="n">
        <v>37</v>
      </c>
      <c r="C247" s="4" t="s">
        <v>28</v>
      </c>
      <c r="D247" s="4" t="s">
        <v>18</v>
      </c>
      <c r="E247" s="4" t="s">
        <v>44</v>
      </c>
      <c r="F247" s="4" t="s">
        <v>50</v>
      </c>
      <c r="G247" s="4" t="s">
        <v>21</v>
      </c>
      <c r="H247" s="4" t="s">
        <v>31</v>
      </c>
      <c r="I247" s="4" t="s">
        <v>32</v>
      </c>
      <c r="J247" s="4" t="n">
        <v>6628</v>
      </c>
      <c r="K247" s="4" t="s">
        <v>33</v>
      </c>
      <c r="L247" s="4" t="n">
        <v>5</v>
      </c>
      <c r="M247" s="4" t="s">
        <v>25</v>
      </c>
      <c r="N247" s="4" t="s">
        <v>34</v>
      </c>
      <c r="O247" s="4" t="n">
        <v>3</v>
      </c>
      <c r="P247" s="4" t="n">
        <v>7</v>
      </c>
    </row>
    <row r="248" customFormat="false" ht="15" hidden="false" customHeight="true" outlineLevel="0" collapsed="false">
      <c r="A248" s="3" t="s">
        <v>309</v>
      </c>
      <c r="B248" s="3" t="n">
        <v>52</v>
      </c>
      <c r="C248" s="3" t="s">
        <v>17</v>
      </c>
      <c r="D248" s="3" t="s">
        <v>29</v>
      </c>
      <c r="E248" s="3" t="s">
        <v>44</v>
      </c>
      <c r="F248" s="3" t="s">
        <v>50</v>
      </c>
      <c r="G248" s="3" t="s">
        <v>51</v>
      </c>
      <c r="H248" s="3"/>
      <c r="I248" s="3"/>
      <c r="J248" s="3"/>
      <c r="K248" s="3"/>
      <c r="L248" s="3" t="n">
        <v>2</v>
      </c>
      <c r="M248" s="3" t="s">
        <v>41</v>
      </c>
      <c r="N248" s="3" t="s">
        <v>71</v>
      </c>
      <c r="O248" s="3" t="n">
        <v>4</v>
      </c>
      <c r="P248" s="3" t="n">
        <v>3</v>
      </c>
    </row>
    <row r="249" customFormat="false" ht="15" hidden="false" customHeight="true" outlineLevel="0" collapsed="false">
      <c r="A249" s="4" t="s">
        <v>310</v>
      </c>
      <c r="B249" s="4" t="n">
        <v>38</v>
      </c>
      <c r="C249" s="4" t="s">
        <v>28</v>
      </c>
      <c r="D249" s="4" t="s">
        <v>18</v>
      </c>
      <c r="E249" s="4" t="s">
        <v>37</v>
      </c>
      <c r="F249" s="4" t="s">
        <v>20</v>
      </c>
      <c r="G249" s="4" t="s">
        <v>21</v>
      </c>
      <c r="H249" s="4" t="s">
        <v>22</v>
      </c>
      <c r="I249" s="4" t="s">
        <v>23</v>
      </c>
      <c r="J249" s="4" t="n">
        <v>1889</v>
      </c>
      <c r="K249" s="4" t="s">
        <v>33</v>
      </c>
      <c r="L249" s="4" t="n">
        <v>3</v>
      </c>
      <c r="M249" s="4" t="s">
        <v>41</v>
      </c>
      <c r="N249" s="4" t="s">
        <v>26</v>
      </c>
      <c r="O249" s="4" t="n">
        <v>1</v>
      </c>
      <c r="P249" s="4" t="n">
        <v>9</v>
      </c>
    </row>
    <row r="250" customFormat="false" ht="15" hidden="false" customHeight="true" outlineLevel="0" collapsed="false">
      <c r="A250" s="3" t="s">
        <v>311</v>
      </c>
      <c r="B250" s="3"/>
      <c r="C250" s="3" t="s">
        <v>28</v>
      </c>
      <c r="D250" s="3" t="s">
        <v>48</v>
      </c>
      <c r="E250" s="3" t="s">
        <v>19</v>
      </c>
      <c r="F250" s="3" t="s">
        <v>38</v>
      </c>
      <c r="G250" s="3" t="s">
        <v>21</v>
      </c>
      <c r="H250" s="3" t="s">
        <v>22</v>
      </c>
      <c r="I250" s="3"/>
      <c r="J250" s="3" t="n">
        <v>478</v>
      </c>
      <c r="K250" s="3" t="s">
        <v>24</v>
      </c>
      <c r="L250" s="3" t="n">
        <v>1</v>
      </c>
      <c r="M250" s="3" t="s">
        <v>46</v>
      </c>
      <c r="N250" s="3" t="s">
        <v>34</v>
      </c>
      <c r="O250" s="3" t="n">
        <v>5</v>
      </c>
      <c r="P250" s="3" t="n">
        <v>2</v>
      </c>
    </row>
    <row r="251" customFormat="false" ht="15" hidden="false" customHeight="true" outlineLevel="0" collapsed="false">
      <c r="A251" s="4" t="s">
        <v>312</v>
      </c>
      <c r="B251" s="4" t="n">
        <v>47</v>
      </c>
      <c r="C251" s="4" t="s">
        <v>28</v>
      </c>
      <c r="D251" s="4" t="s">
        <v>18</v>
      </c>
      <c r="E251" s="4" t="s">
        <v>30</v>
      </c>
      <c r="F251" s="4" t="s">
        <v>38</v>
      </c>
      <c r="G251" s="4" t="s">
        <v>51</v>
      </c>
      <c r="H251" s="4"/>
      <c r="I251" s="4"/>
      <c r="J251" s="4"/>
      <c r="K251" s="4"/>
      <c r="L251" s="4" t="n">
        <v>2</v>
      </c>
      <c r="M251" s="4" t="s">
        <v>46</v>
      </c>
      <c r="N251" s="4" t="s">
        <v>84</v>
      </c>
      <c r="O251" s="4" t="n">
        <v>1</v>
      </c>
      <c r="P251" s="4" t="n">
        <v>8</v>
      </c>
    </row>
    <row r="252" customFormat="false" ht="15" hidden="false" customHeight="true" outlineLevel="0" collapsed="false">
      <c r="A252" s="3" t="s">
        <v>313</v>
      </c>
      <c r="B252" s="3" t="n">
        <v>27</v>
      </c>
      <c r="C252" s="3" t="s">
        <v>17</v>
      </c>
      <c r="D252" s="3" t="s">
        <v>65</v>
      </c>
      <c r="E252" s="3" t="s">
        <v>30</v>
      </c>
      <c r="F252" s="3" t="s">
        <v>38</v>
      </c>
      <c r="G252" s="3" t="s">
        <v>21</v>
      </c>
      <c r="H252" s="3" t="s">
        <v>56</v>
      </c>
      <c r="I252" s="3" t="s">
        <v>69</v>
      </c>
      <c r="J252" s="3" t="n">
        <v>981</v>
      </c>
      <c r="K252" s="3" t="s">
        <v>33</v>
      </c>
      <c r="L252" s="3" t="n">
        <v>5</v>
      </c>
      <c r="M252" s="3" t="s">
        <v>46</v>
      </c>
      <c r="N252" s="3" t="s">
        <v>84</v>
      </c>
      <c r="O252" s="3" t="n">
        <v>1</v>
      </c>
      <c r="P252" s="3" t="n">
        <v>4</v>
      </c>
    </row>
    <row r="253" customFormat="false" ht="15" hidden="false" customHeight="true" outlineLevel="0" collapsed="false">
      <c r="A253" s="4" t="s">
        <v>314</v>
      </c>
      <c r="B253" s="4" t="n">
        <v>45</v>
      </c>
      <c r="C253" s="4" t="s">
        <v>17</v>
      </c>
      <c r="D253" s="4" t="s">
        <v>36</v>
      </c>
      <c r="E253" s="4" t="s">
        <v>19</v>
      </c>
      <c r="F253" s="4" t="s">
        <v>20</v>
      </c>
      <c r="G253" s="4" t="s">
        <v>21</v>
      </c>
      <c r="H253" s="4" t="s">
        <v>56</v>
      </c>
      <c r="I253" s="4" t="s">
        <v>60</v>
      </c>
      <c r="J253" s="4" t="n">
        <v>3592</v>
      </c>
      <c r="K253" s="4" t="s">
        <v>70</v>
      </c>
      <c r="L253" s="4" t="n">
        <v>3</v>
      </c>
      <c r="M253" s="4" t="s">
        <v>46</v>
      </c>
      <c r="N253" s="4" t="s">
        <v>34</v>
      </c>
      <c r="O253" s="4" t="n">
        <v>5</v>
      </c>
      <c r="P253" s="4" t="n">
        <v>5</v>
      </c>
    </row>
    <row r="254" customFormat="false" ht="15" hidden="false" customHeight="true" outlineLevel="0" collapsed="false">
      <c r="A254" s="3" t="s">
        <v>315</v>
      </c>
      <c r="B254" s="3" t="n">
        <v>43</v>
      </c>
      <c r="C254" s="3" t="s">
        <v>17</v>
      </c>
      <c r="D254" s="3" t="s">
        <v>43</v>
      </c>
      <c r="E254" s="3" t="s">
        <v>37</v>
      </c>
      <c r="F254" s="3" t="s">
        <v>50</v>
      </c>
      <c r="G254" s="3" t="s">
        <v>21</v>
      </c>
      <c r="H254" s="3" t="s">
        <v>63</v>
      </c>
      <c r="I254" s="3" t="s">
        <v>23</v>
      </c>
      <c r="J254" s="3" t="n">
        <v>2250</v>
      </c>
      <c r="K254" s="3" t="s">
        <v>24</v>
      </c>
      <c r="L254" s="3" t="n">
        <v>5</v>
      </c>
      <c r="M254" s="3" t="s">
        <v>41</v>
      </c>
      <c r="N254" s="3" t="s">
        <v>34</v>
      </c>
      <c r="O254" s="3" t="n">
        <v>3</v>
      </c>
      <c r="P254" s="3" t="n">
        <v>4</v>
      </c>
    </row>
    <row r="255" customFormat="false" ht="15" hidden="false" customHeight="true" outlineLevel="0" collapsed="false">
      <c r="A255" s="4" t="s">
        <v>316</v>
      </c>
      <c r="B255" s="4" t="n">
        <v>31</v>
      </c>
      <c r="C255" s="4" t="s">
        <v>17</v>
      </c>
      <c r="D255" s="4" t="s">
        <v>48</v>
      </c>
      <c r="E255" s="4" t="s">
        <v>19</v>
      </c>
      <c r="F255" s="4" t="s">
        <v>38</v>
      </c>
      <c r="G255" s="4" t="s">
        <v>51</v>
      </c>
      <c r="H255" s="4"/>
      <c r="I255" s="4"/>
      <c r="J255" s="4"/>
      <c r="K255" s="4"/>
      <c r="L255" s="4" t="n">
        <v>2</v>
      </c>
      <c r="M255" s="4" t="s">
        <v>46</v>
      </c>
      <c r="N255" s="4" t="s">
        <v>71</v>
      </c>
      <c r="O255" s="4" t="n">
        <v>5</v>
      </c>
      <c r="P255" s="4" t="n">
        <v>7</v>
      </c>
    </row>
    <row r="256" customFormat="false" ht="15" hidden="false" customHeight="true" outlineLevel="0" collapsed="false">
      <c r="A256" s="3" t="s">
        <v>317</v>
      </c>
      <c r="B256" s="3" t="n">
        <v>53</v>
      </c>
      <c r="C256" s="3" t="s">
        <v>28</v>
      </c>
      <c r="D256" s="3" t="s">
        <v>18</v>
      </c>
      <c r="E256" s="3" t="s">
        <v>37</v>
      </c>
      <c r="F256" s="3" t="s">
        <v>45</v>
      </c>
      <c r="G256" s="3" t="s">
        <v>21</v>
      </c>
      <c r="H256" s="3" t="s">
        <v>63</v>
      </c>
      <c r="I256" s="3" t="s">
        <v>69</v>
      </c>
      <c r="J256" s="3" t="n">
        <v>14004</v>
      </c>
      <c r="K256" s="3" t="s">
        <v>33</v>
      </c>
      <c r="L256" s="3" t="n">
        <v>3</v>
      </c>
      <c r="M256" s="3" t="s">
        <v>41</v>
      </c>
      <c r="N256" s="3" t="s">
        <v>84</v>
      </c>
      <c r="O256" s="3" t="n">
        <v>5</v>
      </c>
      <c r="P256" s="3" t="n">
        <v>8</v>
      </c>
    </row>
    <row r="257" customFormat="false" ht="15" hidden="false" customHeight="true" outlineLevel="0" collapsed="false">
      <c r="A257" s="4" t="s">
        <v>318</v>
      </c>
      <c r="B257" s="4" t="n">
        <v>41</v>
      </c>
      <c r="C257" s="4" t="s">
        <v>17</v>
      </c>
      <c r="D257" s="4" t="s">
        <v>62</v>
      </c>
      <c r="E257" s="4" t="s">
        <v>37</v>
      </c>
      <c r="F257" s="4" t="s">
        <v>58</v>
      </c>
      <c r="G257" s="4" t="s">
        <v>21</v>
      </c>
      <c r="H257" s="4" t="s">
        <v>39</v>
      </c>
      <c r="I257" s="4" t="s">
        <v>32</v>
      </c>
      <c r="J257" s="4" t="n">
        <v>13757</v>
      </c>
      <c r="K257" s="4" t="s">
        <v>33</v>
      </c>
      <c r="L257" s="4" t="n">
        <v>1</v>
      </c>
      <c r="M257" s="4" t="s">
        <v>25</v>
      </c>
      <c r="N257" s="4" t="s">
        <v>34</v>
      </c>
      <c r="O257" s="4" t="n">
        <v>5</v>
      </c>
      <c r="P257" s="4" t="n">
        <v>6</v>
      </c>
    </row>
    <row r="258" customFormat="false" ht="15" hidden="false" customHeight="true" outlineLevel="0" collapsed="false">
      <c r="A258" s="3" t="s">
        <v>319</v>
      </c>
      <c r="B258" s="3" t="n">
        <v>49</v>
      </c>
      <c r="C258" s="3" t="s">
        <v>28</v>
      </c>
      <c r="D258" s="3" t="s">
        <v>65</v>
      </c>
      <c r="E258" s="3" t="s">
        <v>44</v>
      </c>
      <c r="F258" s="3" t="s">
        <v>50</v>
      </c>
      <c r="G258" s="3" t="s">
        <v>21</v>
      </c>
      <c r="H258" s="3" t="s">
        <v>56</v>
      </c>
      <c r="I258" s="3" t="s">
        <v>60</v>
      </c>
      <c r="J258" s="3" t="n">
        <v>1890</v>
      </c>
      <c r="K258" s="3" t="s">
        <v>33</v>
      </c>
      <c r="L258" s="3" t="n">
        <v>1</v>
      </c>
      <c r="M258" s="3" t="s">
        <v>46</v>
      </c>
      <c r="N258" s="3" t="s">
        <v>84</v>
      </c>
      <c r="O258" s="3" t="n">
        <v>1</v>
      </c>
      <c r="P258" s="3" t="n">
        <v>4</v>
      </c>
    </row>
    <row r="259" customFormat="false" ht="15" hidden="false" customHeight="true" outlineLevel="0" collapsed="false">
      <c r="A259" s="4" t="s">
        <v>320</v>
      </c>
      <c r="B259" s="4"/>
      <c r="C259" s="4" t="s">
        <v>28</v>
      </c>
      <c r="D259" s="4" t="s">
        <v>53</v>
      </c>
      <c r="E259" s="4" t="s">
        <v>49</v>
      </c>
      <c r="F259" s="4" t="s">
        <v>58</v>
      </c>
      <c r="G259" s="4" t="s">
        <v>21</v>
      </c>
      <c r="H259" s="4" t="s">
        <v>22</v>
      </c>
      <c r="I259" s="4" t="s">
        <v>23</v>
      </c>
      <c r="J259" s="4" t="n">
        <v>23683</v>
      </c>
      <c r="K259" s="4" t="s">
        <v>24</v>
      </c>
      <c r="L259" s="4" t="n">
        <v>1</v>
      </c>
      <c r="M259" s="4" t="s">
        <v>25</v>
      </c>
      <c r="N259" s="4" t="s">
        <v>71</v>
      </c>
      <c r="O259" s="4" t="n">
        <v>3</v>
      </c>
      <c r="P259" s="4" t="n">
        <v>7</v>
      </c>
    </row>
    <row r="260" customFormat="false" ht="15" hidden="false" customHeight="true" outlineLevel="0" collapsed="false">
      <c r="A260" s="3" t="s">
        <v>321</v>
      </c>
      <c r="B260" s="3" t="n">
        <v>58</v>
      </c>
      <c r="C260" s="3" t="s">
        <v>17</v>
      </c>
      <c r="D260" s="3" t="s">
        <v>114</v>
      </c>
      <c r="E260" s="3" t="s">
        <v>19</v>
      </c>
      <c r="F260" s="3" t="s">
        <v>20</v>
      </c>
      <c r="G260" s="3" t="s">
        <v>51</v>
      </c>
      <c r="H260" s="3"/>
      <c r="I260" s="3"/>
      <c r="J260" s="3"/>
      <c r="K260" s="3"/>
      <c r="L260" s="3" t="n">
        <v>3</v>
      </c>
      <c r="M260" s="3" t="s">
        <v>25</v>
      </c>
      <c r="N260" s="3" t="s">
        <v>26</v>
      </c>
      <c r="O260" s="3" t="n">
        <v>5</v>
      </c>
      <c r="P260" s="3" t="n">
        <v>10</v>
      </c>
    </row>
    <row r="261" customFormat="false" ht="15" hidden="false" customHeight="true" outlineLevel="0" collapsed="false">
      <c r="A261" s="4" t="s">
        <v>322</v>
      </c>
      <c r="B261" s="4" t="n">
        <v>57</v>
      </c>
      <c r="C261" s="4" t="s">
        <v>28</v>
      </c>
      <c r="D261" s="4" t="s">
        <v>29</v>
      </c>
      <c r="E261" s="4" t="s">
        <v>37</v>
      </c>
      <c r="F261" s="4" t="s">
        <v>58</v>
      </c>
      <c r="G261" s="4" t="s">
        <v>21</v>
      </c>
      <c r="H261" s="4" t="s">
        <v>31</v>
      </c>
      <c r="I261" s="4" t="s">
        <v>40</v>
      </c>
      <c r="J261" s="4" t="n">
        <v>25955</v>
      </c>
      <c r="K261" s="4" t="s">
        <v>70</v>
      </c>
      <c r="L261" s="4"/>
      <c r="M261" s="4" t="s">
        <v>41</v>
      </c>
      <c r="N261" s="4" t="s">
        <v>71</v>
      </c>
      <c r="O261" s="4" t="n">
        <v>3</v>
      </c>
      <c r="P261" s="4" t="n">
        <v>6</v>
      </c>
    </row>
    <row r="262" customFormat="false" ht="15" hidden="false" customHeight="true" outlineLevel="0" collapsed="false">
      <c r="A262" s="3" t="s">
        <v>323</v>
      </c>
      <c r="B262" s="3" t="n">
        <v>46</v>
      </c>
      <c r="C262" s="3" t="s">
        <v>28</v>
      </c>
      <c r="D262" s="3" t="s">
        <v>62</v>
      </c>
      <c r="E262" s="3" t="s">
        <v>54</v>
      </c>
      <c r="F262" s="3" t="s">
        <v>45</v>
      </c>
      <c r="G262" s="3" t="s">
        <v>21</v>
      </c>
      <c r="H262" s="3" t="s">
        <v>56</v>
      </c>
      <c r="I262" s="3" t="s">
        <v>69</v>
      </c>
      <c r="J262" s="3" t="n">
        <v>12244</v>
      </c>
      <c r="K262" s="3" t="s">
        <v>33</v>
      </c>
      <c r="L262" s="3" t="n">
        <v>2</v>
      </c>
      <c r="M262" s="3" t="s">
        <v>46</v>
      </c>
      <c r="N262" s="3" t="s">
        <v>34</v>
      </c>
      <c r="O262" s="3" t="n">
        <v>1</v>
      </c>
      <c r="P262" s="3" t="n">
        <v>2</v>
      </c>
    </row>
    <row r="263" customFormat="false" ht="15" hidden="false" customHeight="true" outlineLevel="0" collapsed="false">
      <c r="A263" s="4" t="s">
        <v>324</v>
      </c>
      <c r="B263" s="4" t="n">
        <v>23</v>
      </c>
      <c r="C263" s="4" t="s">
        <v>28</v>
      </c>
      <c r="D263" s="4" t="s">
        <v>43</v>
      </c>
      <c r="E263" s="4" t="s">
        <v>30</v>
      </c>
      <c r="F263" s="4"/>
      <c r="G263" s="4" t="s">
        <v>21</v>
      </c>
      <c r="H263" s="4" t="s">
        <v>31</v>
      </c>
      <c r="I263" s="4" t="s">
        <v>60</v>
      </c>
      <c r="J263" s="4" t="n">
        <v>2848</v>
      </c>
      <c r="K263" s="4" t="s">
        <v>33</v>
      </c>
      <c r="L263" s="4" t="n">
        <v>1</v>
      </c>
      <c r="M263" s="4" t="s">
        <v>41</v>
      </c>
      <c r="N263" s="4" t="s">
        <v>34</v>
      </c>
      <c r="O263" s="4" t="n">
        <v>3</v>
      </c>
      <c r="P263" s="4" t="n">
        <v>9</v>
      </c>
    </row>
    <row r="264" customFormat="false" ht="15" hidden="false" customHeight="true" outlineLevel="0" collapsed="false">
      <c r="A264" s="3" t="s">
        <v>325</v>
      </c>
      <c r="B264" s="3" t="n">
        <v>49</v>
      </c>
      <c r="C264" s="3" t="s">
        <v>28</v>
      </c>
      <c r="D264" s="3" t="s">
        <v>36</v>
      </c>
      <c r="E264" s="3" t="s">
        <v>30</v>
      </c>
      <c r="F264" s="3" t="s">
        <v>20</v>
      </c>
      <c r="G264" s="3" t="s">
        <v>51</v>
      </c>
      <c r="H264" s="3"/>
      <c r="I264" s="3"/>
      <c r="J264" s="3"/>
      <c r="K264" s="3"/>
      <c r="L264" s="3" t="n">
        <v>3</v>
      </c>
      <c r="M264" s="3" t="s">
        <v>41</v>
      </c>
      <c r="N264" s="3" t="s">
        <v>84</v>
      </c>
      <c r="O264" s="3" t="n">
        <v>1</v>
      </c>
      <c r="P264" s="3" t="n">
        <v>7</v>
      </c>
    </row>
    <row r="265" customFormat="false" ht="15" hidden="false" customHeight="true" outlineLevel="0" collapsed="false">
      <c r="A265" s="4" t="s">
        <v>326</v>
      </c>
      <c r="B265" s="4" t="n">
        <v>27</v>
      </c>
      <c r="C265" s="4"/>
      <c r="D265" s="4" t="s">
        <v>29</v>
      </c>
      <c r="E265" s="4" t="s">
        <v>54</v>
      </c>
      <c r="F265" s="4" t="s">
        <v>38</v>
      </c>
      <c r="G265" s="4" t="s">
        <v>21</v>
      </c>
      <c r="H265" s="4" t="s">
        <v>66</v>
      </c>
      <c r="I265" s="4" t="s">
        <v>60</v>
      </c>
      <c r="J265" s="4" t="n">
        <v>294</v>
      </c>
      <c r="K265" s="4" t="s">
        <v>70</v>
      </c>
      <c r="L265" s="4" t="n">
        <v>2</v>
      </c>
      <c r="M265" s="4" t="s">
        <v>41</v>
      </c>
      <c r="N265" s="4" t="s">
        <v>71</v>
      </c>
      <c r="O265" s="4" t="n">
        <v>2</v>
      </c>
      <c r="P265" s="4" t="n">
        <v>10</v>
      </c>
    </row>
    <row r="266" customFormat="false" ht="15" hidden="false" customHeight="true" outlineLevel="0" collapsed="false">
      <c r="A266" s="3" t="s">
        <v>327</v>
      </c>
      <c r="B266" s="3" t="n">
        <v>28</v>
      </c>
      <c r="C266" s="3" t="s">
        <v>28</v>
      </c>
      <c r="D266" s="3" t="s">
        <v>53</v>
      </c>
      <c r="E266" s="3" t="s">
        <v>54</v>
      </c>
      <c r="F266" s="3" t="s">
        <v>50</v>
      </c>
      <c r="G266" s="3" t="s">
        <v>51</v>
      </c>
      <c r="H266" s="3"/>
      <c r="I266" s="3"/>
      <c r="J266" s="3"/>
      <c r="K266" s="3"/>
      <c r="L266" s="3" t="n">
        <v>2</v>
      </c>
      <c r="M266" s="3" t="s">
        <v>25</v>
      </c>
      <c r="N266" s="3" t="s">
        <v>34</v>
      </c>
      <c r="O266" s="3" t="n">
        <v>3</v>
      </c>
      <c r="P266" s="3" t="n">
        <v>9</v>
      </c>
    </row>
    <row r="267" customFormat="false" ht="15" hidden="false" customHeight="true" outlineLevel="0" collapsed="false">
      <c r="A267" s="4" t="s">
        <v>328</v>
      </c>
      <c r="B267" s="4" t="n">
        <v>29</v>
      </c>
      <c r="C267" s="4" t="s">
        <v>17</v>
      </c>
      <c r="D267" s="4" t="s">
        <v>79</v>
      </c>
      <c r="E267" s="4" t="s">
        <v>37</v>
      </c>
      <c r="F267" s="4" t="s">
        <v>45</v>
      </c>
      <c r="G267" s="4" t="s">
        <v>21</v>
      </c>
      <c r="H267" s="4" t="s">
        <v>39</v>
      </c>
      <c r="I267" s="4" t="s">
        <v>60</v>
      </c>
      <c r="J267" s="4" t="n">
        <v>7408</v>
      </c>
      <c r="K267" s="4" t="s">
        <v>24</v>
      </c>
      <c r="L267" s="4" t="n">
        <v>2</v>
      </c>
      <c r="M267" s="4" t="s">
        <v>25</v>
      </c>
      <c r="N267" s="4" t="s">
        <v>34</v>
      </c>
      <c r="O267" s="4" t="n">
        <v>2</v>
      </c>
      <c r="P267" s="4" t="n">
        <v>4</v>
      </c>
    </row>
    <row r="268" customFormat="false" ht="15" hidden="false" customHeight="true" outlineLevel="0" collapsed="false">
      <c r="A268" s="3" t="s">
        <v>329</v>
      </c>
      <c r="B268" s="3" t="n">
        <v>51</v>
      </c>
      <c r="C268" s="3"/>
      <c r="D268" s="3" t="s">
        <v>79</v>
      </c>
      <c r="E268" s="3" t="s">
        <v>37</v>
      </c>
      <c r="F268" s="3" t="s">
        <v>20</v>
      </c>
      <c r="G268" s="3" t="s">
        <v>21</v>
      </c>
      <c r="H268" s="3" t="s">
        <v>63</v>
      </c>
      <c r="I268" s="3" t="s">
        <v>32</v>
      </c>
      <c r="J268" s="3" t="n">
        <v>1676</v>
      </c>
      <c r="K268" s="3" t="s">
        <v>70</v>
      </c>
      <c r="L268" s="3" t="n">
        <v>3</v>
      </c>
      <c r="M268" s="3" t="s">
        <v>41</v>
      </c>
      <c r="N268" s="3" t="s">
        <v>34</v>
      </c>
      <c r="O268" s="3" t="n">
        <v>4</v>
      </c>
      <c r="P268" s="3" t="n">
        <v>9</v>
      </c>
    </row>
    <row r="269" customFormat="false" ht="15" hidden="false" customHeight="true" outlineLevel="0" collapsed="false">
      <c r="A269" s="4" t="s">
        <v>330</v>
      </c>
      <c r="B269" s="4" t="n">
        <v>59</v>
      </c>
      <c r="C269" s="4" t="s">
        <v>17</v>
      </c>
      <c r="D269" s="4" t="s">
        <v>65</v>
      </c>
      <c r="E269" s="4" t="s">
        <v>54</v>
      </c>
      <c r="F269" s="4" t="s">
        <v>38</v>
      </c>
      <c r="G269" s="4" t="s">
        <v>51</v>
      </c>
      <c r="H269" s="4"/>
      <c r="I269" s="4"/>
      <c r="J269" s="4"/>
      <c r="K269" s="4"/>
      <c r="L269" s="4" t="n">
        <v>3</v>
      </c>
      <c r="M269" s="4" t="s">
        <v>25</v>
      </c>
      <c r="N269" s="4" t="s">
        <v>71</v>
      </c>
      <c r="O269" s="4" t="n">
        <v>1</v>
      </c>
      <c r="P269" s="4" t="n">
        <v>6</v>
      </c>
    </row>
    <row r="270" customFormat="false" ht="15" hidden="false" customHeight="true" outlineLevel="0" collapsed="false">
      <c r="A270" s="3" t="s">
        <v>331</v>
      </c>
      <c r="B270" s="3" t="n">
        <v>49</v>
      </c>
      <c r="C270" s="3" t="s">
        <v>17</v>
      </c>
      <c r="D270" s="3" t="s">
        <v>43</v>
      </c>
      <c r="E270" s="3" t="s">
        <v>30</v>
      </c>
      <c r="F270" s="3" t="s">
        <v>38</v>
      </c>
      <c r="G270" s="3" t="s">
        <v>21</v>
      </c>
      <c r="H270" s="3" t="s">
        <v>66</v>
      </c>
      <c r="I270" s="3" t="s">
        <v>23</v>
      </c>
      <c r="J270" s="3" t="n">
        <v>991</v>
      </c>
      <c r="K270" s="3" t="s">
        <v>24</v>
      </c>
      <c r="L270" s="3" t="n">
        <v>4</v>
      </c>
      <c r="M270" s="3" t="s">
        <v>41</v>
      </c>
      <c r="N270" s="3" t="s">
        <v>34</v>
      </c>
      <c r="O270" s="3" t="n">
        <v>5</v>
      </c>
      <c r="P270" s="3" t="n">
        <v>1</v>
      </c>
    </row>
    <row r="271" customFormat="false" ht="15" hidden="false" customHeight="true" outlineLevel="0" collapsed="false">
      <c r="A271" s="4" t="s">
        <v>332</v>
      </c>
      <c r="B271" s="4" t="n">
        <v>23</v>
      </c>
      <c r="C271" s="4" t="s">
        <v>28</v>
      </c>
      <c r="D271" s="4" t="s">
        <v>43</v>
      </c>
      <c r="E271" s="4" t="s">
        <v>49</v>
      </c>
      <c r="F271" s="4" t="s">
        <v>45</v>
      </c>
      <c r="G271" s="4" t="s">
        <v>51</v>
      </c>
      <c r="H271" s="4"/>
      <c r="I271" s="4"/>
      <c r="J271" s="4"/>
      <c r="K271" s="4"/>
      <c r="L271" s="4" t="n">
        <v>1</v>
      </c>
      <c r="M271" s="4" t="s">
        <v>25</v>
      </c>
      <c r="N271" s="4" t="s">
        <v>34</v>
      </c>
      <c r="O271" s="4" t="n">
        <v>4</v>
      </c>
      <c r="P271" s="4" t="n">
        <v>6</v>
      </c>
    </row>
    <row r="272" customFormat="false" ht="15" hidden="false" customHeight="true" outlineLevel="0" collapsed="false">
      <c r="A272" s="3" t="s">
        <v>333</v>
      </c>
      <c r="B272" s="3" t="n">
        <v>51</v>
      </c>
      <c r="C272" s="3" t="s">
        <v>28</v>
      </c>
      <c r="D272" s="3" t="s">
        <v>53</v>
      </c>
      <c r="E272" s="3" t="s">
        <v>54</v>
      </c>
      <c r="F272" s="3" t="s">
        <v>20</v>
      </c>
      <c r="G272" s="3" t="s">
        <v>21</v>
      </c>
      <c r="H272" s="3" t="s">
        <v>63</v>
      </c>
      <c r="I272" s="3" t="s">
        <v>40</v>
      </c>
      <c r="J272" s="3" t="n">
        <v>2442</v>
      </c>
      <c r="K272" s="3" t="s">
        <v>70</v>
      </c>
      <c r="L272" s="3" t="n">
        <v>4</v>
      </c>
      <c r="M272" s="3" t="s">
        <v>41</v>
      </c>
      <c r="N272" s="3" t="s">
        <v>34</v>
      </c>
      <c r="O272" s="3" t="n">
        <v>2</v>
      </c>
      <c r="P272" s="3" t="n">
        <v>1</v>
      </c>
    </row>
    <row r="273" customFormat="false" ht="15" hidden="false" customHeight="true" outlineLevel="0" collapsed="false">
      <c r="A273" s="4" t="s">
        <v>334</v>
      </c>
      <c r="B273" s="4" t="n">
        <v>60</v>
      </c>
      <c r="C273" s="4" t="s">
        <v>17</v>
      </c>
      <c r="D273" s="4" t="s">
        <v>43</v>
      </c>
      <c r="E273" s="4" t="s">
        <v>49</v>
      </c>
      <c r="F273" s="4" t="s">
        <v>58</v>
      </c>
      <c r="G273" s="4" t="s">
        <v>51</v>
      </c>
      <c r="H273" s="4"/>
      <c r="I273" s="4"/>
      <c r="J273" s="4"/>
      <c r="K273" s="4"/>
      <c r="L273" s="4" t="n">
        <v>1</v>
      </c>
      <c r="M273" s="4" t="s">
        <v>46</v>
      </c>
      <c r="N273" s="4" t="s">
        <v>34</v>
      </c>
      <c r="O273" s="4" t="n">
        <v>4</v>
      </c>
      <c r="P273" s="4" t="n">
        <v>9</v>
      </c>
    </row>
    <row r="274" customFormat="false" ht="15" hidden="false" customHeight="true" outlineLevel="0" collapsed="false">
      <c r="A274" s="3" t="s">
        <v>335</v>
      </c>
      <c r="B274" s="3" t="n">
        <v>46</v>
      </c>
      <c r="C274" s="3" t="s">
        <v>28</v>
      </c>
      <c r="D274" s="3" t="s">
        <v>65</v>
      </c>
      <c r="E274" s="3" t="s">
        <v>30</v>
      </c>
      <c r="F274" s="3" t="s">
        <v>45</v>
      </c>
      <c r="G274" s="3" t="s">
        <v>21</v>
      </c>
      <c r="H274" s="3" t="s">
        <v>31</v>
      </c>
      <c r="I274" s="3" t="s">
        <v>32</v>
      </c>
      <c r="J274" s="3" t="n">
        <v>11172</v>
      </c>
      <c r="K274" s="3" t="s">
        <v>33</v>
      </c>
      <c r="L274" s="3" t="n">
        <v>5</v>
      </c>
      <c r="M274" s="3" t="s">
        <v>46</v>
      </c>
      <c r="N274" s="3" t="s">
        <v>34</v>
      </c>
      <c r="O274" s="3" t="n">
        <v>5</v>
      </c>
      <c r="P274" s="3" t="n">
        <v>7</v>
      </c>
    </row>
    <row r="275" customFormat="false" ht="15" hidden="false" customHeight="true" outlineLevel="0" collapsed="false">
      <c r="A275" s="4" t="s">
        <v>336</v>
      </c>
      <c r="B275" s="4" t="n">
        <v>20</v>
      </c>
      <c r="C275" s="4" t="s">
        <v>28</v>
      </c>
      <c r="D275" s="4" t="s">
        <v>79</v>
      </c>
      <c r="E275" s="4" t="s">
        <v>19</v>
      </c>
      <c r="F275" s="4" t="s">
        <v>20</v>
      </c>
      <c r="G275" s="4" t="s">
        <v>21</v>
      </c>
      <c r="H275" s="4" t="s">
        <v>39</v>
      </c>
      <c r="I275" s="4" t="s">
        <v>40</v>
      </c>
      <c r="J275" s="4" t="n">
        <v>880</v>
      </c>
      <c r="K275" s="4" t="s">
        <v>24</v>
      </c>
      <c r="L275" s="4" t="n">
        <v>4</v>
      </c>
      <c r="M275" s="4" t="s">
        <v>46</v>
      </c>
      <c r="N275" s="4" t="s">
        <v>26</v>
      </c>
      <c r="O275" s="4" t="n">
        <v>5</v>
      </c>
      <c r="P275" s="4" t="n">
        <v>10</v>
      </c>
    </row>
    <row r="276" customFormat="false" ht="15" hidden="false" customHeight="true" outlineLevel="0" collapsed="false">
      <c r="A276" s="3" t="s">
        <v>337</v>
      </c>
      <c r="B276" s="3" t="n">
        <v>47</v>
      </c>
      <c r="C276" s="3" t="s">
        <v>28</v>
      </c>
      <c r="D276" s="3" t="s">
        <v>36</v>
      </c>
      <c r="E276" s="3" t="s">
        <v>37</v>
      </c>
      <c r="F276" s="3" t="s">
        <v>38</v>
      </c>
      <c r="G276" s="3" t="s">
        <v>21</v>
      </c>
      <c r="H276" s="3" t="s">
        <v>31</v>
      </c>
      <c r="I276" s="3" t="s">
        <v>23</v>
      </c>
      <c r="J276" s="3" t="n">
        <v>1091</v>
      </c>
      <c r="K276" s="3" t="s">
        <v>33</v>
      </c>
      <c r="L276" s="3" t="n">
        <v>4</v>
      </c>
      <c r="M276" s="3" t="s">
        <v>41</v>
      </c>
      <c r="N276" s="3" t="s">
        <v>26</v>
      </c>
      <c r="O276" s="3" t="n">
        <v>4</v>
      </c>
      <c r="P276" s="3" t="n">
        <v>3</v>
      </c>
    </row>
    <row r="277" customFormat="false" ht="15" hidden="false" customHeight="true" outlineLevel="0" collapsed="false">
      <c r="A277" s="4" t="s">
        <v>338</v>
      </c>
      <c r="B277" s="4"/>
      <c r="C277" s="4" t="s">
        <v>17</v>
      </c>
      <c r="D277" s="4" t="s">
        <v>48</v>
      </c>
      <c r="E277" s="4" t="s">
        <v>54</v>
      </c>
      <c r="F277" s="4" t="s">
        <v>20</v>
      </c>
      <c r="G277" s="4" t="s">
        <v>21</v>
      </c>
      <c r="H277" s="4" t="s">
        <v>31</v>
      </c>
      <c r="I277" s="4" t="s">
        <v>32</v>
      </c>
      <c r="J277" s="4" t="n">
        <v>2105</v>
      </c>
      <c r="K277" s="4" t="s">
        <v>24</v>
      </c>
      <c r="L277" s="4" t="n">
        <v>4</v>
      </c>
      <c r="M277" s="4" t="s">
        <v>25</v>
      </c>
      <c r="N277" s="4" t="s">
        <v>84</v>
      </c>
      <c r="O277" s="4" t="n">
        <v>4</v>
      </c>
      <c r="P277" s="4" t="n">
        <v>3</v>
      </c>
    </row>
    <row r="278" customFormat="false" ht="15" hidden="false" customHeight="true" outlineLevel="0" collapsed="false">
      <c r="A278" s="3" t="s">
        <v>339</v>
      </c>
      <c r="B278" s="3" t="n">
        <v>46</v>
      </c>
      <c r="C278" s="3" t="s">
        <v>28</v>
      </c>
      <c r="D278" s="3" t="s">
        <v>43</v>
      </c>
      <c r="E278" s="3" t="s">
        <v>44</v>
      </c>
      <c r="F278" s="3" t="s">
        <v>38</v>
      </c>
      <c r="G278" s="3" t="s">
        <v>51</v>
      </c>
      <c r="H278" s="3"/>
      <c r="I278" s="3"/>
      <c r="J278" s="3"/>
      <c r="K278" s="3"/>
      <c r="L278" s="3" t="n">
        <v>2</v>
      </c>
      <c r="M278" s="3" t="s">
        <v>46</v>
      </c>
      <c r="N278" s="3" t="s">
        <v>84</v>
      </c>
      <c r="O278" s="3" t="n">
        <v>1</v>
      </c>
      <c r="P278" s="3" t="n">
        <v>3</v>
      </c>
    </row>
    <row r="279" customFormat="false" ht="15" hidden="false" customHeight="true" outlineLevel="0" collapsed="false">
      <c r="A279" s="4" t="s">
        <v>340</v>
      </c>
      <c r="B279" s="4" t="n">
        <v>46</v>
      </c>
      <c r="C279" s="4" t="s">
        <v>28</v>
      </c>
      <c r="D279" s="4" t="s">
        <v>79</v>
      </c>
      <c r="E279" s="4" t="s">
        <v>19</v>
      </c>
      <c r="F279" s="4" t="s">
        <v>45</v>
      </c>
      <c r="G279" s="4" t="s">
        <v>21</v>
      </c>
      <c r="H279" s="4" t="s">
        <v>56</v>
      </c>
      <c r="I279" s="4" t="s">
        <v>60</v>
      </c>
      <c r="J279" s="4" t="n">
        <v>4864</v>
      </c>
      <c r="K279" s="4" t="s">
        <v>70</v>
      </c>
      <c r="L279" s="4" t="n">
        <v>4</v>
      </c>
      <c r="M279" s="4" t="s">
        <v>41</v>
      </c>
      <c r="N279" s="4" t="s">
        <v>71</v>
      </c>
      <c r="O279" s="4" t="n">
        <v>5</v>
      </c>
      <c r="P279" s="4" t="n">
        <v>8</v>
      </c>
    </row>
    <row r="280" customFormat="false" ht="15" hidden="false" customHeight="true" outlineLevel="0" collapsed="false">
      <c r="A280" s="3" t="s">
        <v>341</v>
      </c>
      <c r="B280" s="3" t="n">
        <v>60</v>
      </c>
      <c r="C280" s="3" t="s">
        <v>28</v>
      </c>
      <c r="D280" s="3" t="s">
        <v>48</v>
      </c>
      <c r="E280" s="3" t="s">
        <v>49</v>
      </c>
      <c r="F280" s="3" t="s">
        <v>38</v>
      </c>
      <c r="G280" s="3" t="s">
        <v>51</v>
      </c>
      <c r="H280" s="3"/>
      <c r="I280" s="3"/>
      <c r="J280" s="3"/>
      <c r="K280" s="3"/>
      <c r="L280" s="3" t="n">
        <v>2</v>
      </c>
      <c r="M280" s="3" t="s">
        <v>46</v>
      </c>
      <c r="N280" s="3" t="s">
        <v>84</v>
      </c>
      <c r="O280" s="3" t="n">
        <v>1</v>
      </c>
      <c r="P280" s="3" t="n">
        <v>4</v>
      </c>
    </row>
    <row r="281" customFormat="false" ht="15" hidden="false" customHeight="true" outlineLevel="0" collapsed="false">
      <c r="A281" s="4" t="s">
        <v>342</v>
      </c>
      <c r="B281" s="4" t="n">
        <v>23</v>
      </c>
      <c r="C281" s="4" t="s">
        <v>28</v>
      </c>
      <c r="D281" s="4" t="s">
        <v>18</v>
      </c>
      <c r="E281" s="4" t="s">
        <v>49</v>
      </c>
      <c r="F281" s="4" t="s">
        <v>45</v>
      </c>
      <c r="G281" s="4" t="s">
        <v>21</v>
      </c>
      <c r="H281" s="4" t="s">
        <v>66</v>
      </c>
      <c r="I281" s="4" t="s">
        <v>69</v>
      </c>
      <c r="J281" s="4" t="n">
        <v>4037</v>
      </c>
      <c r="K281" s="4" t="s">
        <v>24</v>
      </c>
      <c r="L281" s="4" t="n">
        <v>4</v>
      </c>
      <c r="M281" s="4" t="s">
        <v>41</v>
      </c>
      <c r="N281" s="4" t="s">
        <v>26</v>
      </c>
      <c r="O281" s="4" t="n">
        <v>2</v>
      </c>
      <c r="P281" s="4" t="n">
        <v>8</v>
      </c>
    </row>
    <row r="282" customFormat="false" ht="15" hidden="false" customHeight="true" outlineLevel="0" collapsed="false">
      <c r="A282" s="3" t="s">
        <v>343</v>
      </c>
      <c r="B282" s="3" t="n">
        <v>59</v>
      </c>
      <c r="C282" s="3" t="s">
        <v>17</v>
      </c>
      <c r="D282" s="3" t="s">
        <v>62</v>
      </c>
      <c r="E282" s="3" t="s">
        <v>44</v>
      </c>
      <c r="F282" s="3" t="s">
        <v>50</v>
      </c>
      <c r="G282" s="3" t="s">
        <v>21</v>
      </c>
      <c r="H282" s="3" t="s">
        <v>68</v>
      </c>
      <c r="I282" s="3" t="s">
        <v>23</v>
      </c>
      <c r="J282" s="3" t="n">
        <v>2364</v>
      </c>
      <c r="K282" s="3" t="s">
        <v>33</v>
      </c>
      <c r="L282" s="3" t="n">
        <v>3</v>
      </c>
      <c r="M282" s="3" t="s">
        <v>46</v>
      </c>
      <c r="N282" s="3" t="s">
        <v>26</v>
      </c>
      <c r="O282" s="3" t="n">
        <v>2</v>
      </c>
      <c r="P282" s="3" t="n">
        <v>7</v>
      </c>
    </row>
    <row r="283" customFormat="false" ht="15" hidden="false" customHeight="true" outlineLevel="0" collapsed="false">
      <c r="A283" s="4" t="s">
        <v>344</v>
      </c>
      <c r="B283" s="4" t="n">
        <v>27</v>
      </c>
      <c r="C283" s="4" t="s">
        <v>28</v>
      </c>
      <c r="D283" s="4" t="s">
        <v>62</v>
      </c>
      <c r="E283" s="4" t="s">
        <v>37</v>
      </c>
      <c r="F283" s="4" t="s">
        <v>50</v>
      </c>
      <c r="G283" s="4" t="s">
        <v>21</v>
      </c>
      <c r="H283" s="4" t="s">
        <v>56</v>
      </c>
      <c r="I283" s="4" t="s">
        <v>60</v>
      </c>
      <c r="J283" s="4" t="n">
        <v>6922</v>
      </c>
      <c r="K283" s="4" t="s">
        <v>70</v>
      </c>
      <c r="L283" s="4" t="n">
        <v>4</v>
      </c>
      <c r="M283" s="4" t="s">
        <v>46</v>
      </c>
      <c r="N283" s="4" t="s">
        <v>34</v>
      </c>
      <c r="O283" s="4" t="n">
        <v>3</v>
      </c>
      <c r="P283" s="4" t="n">
        <v>2</v>
      </c>
    </row>
    <row r="284" customFormat="false" ht="15" hidden="false" customHeight="true" outlineLevel="0" collapsed="false">
      <c r="A284" s="3" t="s">
        <v>345</v>
      </c>
      <c r="B284" s="3" t="n">
        <v>35</v>
      </c>
      <c r="C284" s="3"/>
      <c r="D284" s="3" t="s">
        <v>43</v>
      </c>
      <c r="E284" s="3" t="s">
        <v>44</v>
      </c>
      <c r="F284" s="3" t="s">
        <v>50</v>
      </c>
      <c r="G284" s="3" t="s">
        <v>51</v>
      </c>
      <c r="H284" s="3"/>
      <c r="I284" s="3"/>
      <c r="J284" s="3"/>
      <c r="K284" s="3"/>
      <c r="L284" s="3" t="n">
        <v>1</v>
      </c>
      <c r="M284" s="3" t="s">
        <v>25</v>
      </c>
      <c r="N284" s="3" t="s">
        <v>26</v>
      </c>
      <c r="O284" s="3" t="n">
        <v>2</v>
      </c>
      <c r="P284" s="3" t="n">
        <v>8</v>
      </c>
    </row>
    <row r="285" customFormat="false" ht="15" hidden="false" customHeight="true" outlineLevel="0" collapsed="false">
      <c r="A285" s="4" t="s">
        <v>346</v>
      </c>
      <c r="B285" s="4" t="n">
        <v>44</v>
      </c>
      <c r="C285" s="4" t="s">
        <v>28</v>
      </c>
      <c r="D285" s="4" t="s">
        <v>114</v>
      </c>
      <c r="E285" s="4" t="s">
        <v>54</v>
      </c>
      <c r="F285" s="4" t="s">
        <v>50</v>
      </c>
      <c r="G285" s="4" t="s">
        <v>21</v>
      </c>
      <c r="H285" s="4" t="s">
        <v>31</v>
      </c>
      <c r="I285" s="4" t="s">
        <v>69</v>
      </c>
      <c r="J285" s="4" t="n">
        <v>5299</v>
      </c>
      <c r="K285" s="4" t="s">
        <v>33</v>
      </c>
      <c r="L285" s="4" t="n">
        <v>4</v>
      </c>
      <c r="M285" s="4" t="s">
        <v>41</v>
      </c>
      <c r="N285" s="4" t="s">
        <v>34</v>
      </c>
      <c r="O285" s="4" t="n">
        <v>5</v>
      </c>
      <c r="P285" s="4" t="n">
        <v>10</v>
      </c>
    </row>
    <row r="286" customFormat="false" ht="15" hidden="false" customHeight="true" outlineLevel="0" collapsed="false">
      <c r="A286" s="3" t="s">
        <v>347</v>
      </c>
      <c r="B286" s="3" t="n">
        <v>47</v>
      </c>
      <c r="C286" s="3" t="s">
        <v>28</v>
      </c>
      <c r="D286" s="3" t="s">
        <v>62</v>
      </c>
      <c r="E286" s="3" t="s">
        <v>49</v>
      </c>
      <c r="F286" s="3" t="s">
        <v>58</v>
      </c>
      <c r="G286" s="3" t="s">
        <v>21</v>
      </c>
      <c r="H286" s="3" t="s">
        <v>63</v>
      </c>
      <c r="I286" s="3" t="s">
        <v>40</v>
      </c>
      <c r="J286" s="3" t="n">
        <v>13927</v>
      </c>
      <c r="K286" s="3" t="s">
        <v>70</v>
      </c>
      <c r="L286" s="3"/>
      <c r="M286" s="3" t="s">
        <v>46</v>
      </c>
      <c r="N286" s="3" t="s">
        <v>26</v>
      </c>
      <c r="O286" s="3" t="n">
        <v>2</v>
      </c>
      <c r="P286" s="3" t="n">
        <v>8</v>
      </c>
    </row>
    <row r="287" customFormat="false" ht="15" hidden="false" customHeight="true" outlineLevel="0" collapsed="false">
      <c r="A287" s="4" t="s">
        <v>348</v>
      </c>
      <c r="B287" s="4" t="n">
        <v>28</v>
      </c>
      <c r="C287" s="4" t="s">
        <v>28</v>
      </c>
      <c r="D287" s="4" t="s">
        <v>114</v>
      </c>
      <c r="E287" s="4" t="s">
        <v>37</v>
      </c>
      <c r="F287" s="4" t="s">
        <v>45</v>
      </c>
      <c r="G287" s="4" t="s">
        <v>21</v>
      </c>
      <c r="H287" s="4" t="s">
        <v>68</v>
      </c>
      <c r="I287" s="4" t="s">
        <v>40</v>
      </c>
      <c r="J287" s="4" t="n">
        <v>11780</v>
      </c>
      <c r="K287" s="4" t="s">
        <v>70</v>
      </c>
      <c r="L287" s="4" t="n">
        <v>2</v>
      </c>
      <c r="M287" s="4" t="s">
        <v>25</v>
      </c>
      <c r="N287" s="4" t="s">
        <v>71</v>
      </c>
      <c r="O287" s="4" t="n">
        <v>4</v>
      </c>
      <c r="P287" s="4" t="n">
        <v>5</v>
      </c>
    </row>
    <row r="288" customFormat="false" ht="15" hidden="false" customHeight="true" outlineLevel="0" collapsed="false">
      <c r="A288" s="3" t="s">
        <v>349</v>
      </c>
      <c r="B288" s="3" t="n">
        <v>31</v>
      </c>
      <c r="C288" s="3" t="s">
        <v>28</v>
      </c>
      <c r="D288" s="3" t="s">
        <v>53</v>
      </c>
      <c r="E288" s="3" t="s">
        <v>19</v>
      </c>
      <c r="F288" s="3" t="s">
        <v>20</v>
      </c>
      <c r="G288" s="3" t="s">
        <v>51</v>
      </c>
      <c r="H288" s="3" t="s">
        <v>31</v>
      </c>
      <c r="I288" s="3"/>
      <c r="J288" s="3"/>
      <c r="K288" s="3"/>
      <c r="L288" s="3" t="n">
        <v>3</v>
      </c>
      <c r="M288" s="3" t="s">
        <v>46</v>
      </c>
      <c r="N288" s="3" t="s">
        <v>26</v>
      </c>
      <c r="O288" s="3" t="n">
        <v>2</v>
      </c>
      <c r="P288" s="3" t="n">
        <v>2</v>
      </c>
    </row>
    <row r="289" customFormat="false" ht="15" hidden="false" customHeight="true" outlineLevel="0" collapsed="false">
      <c r="A289" s="4" t="s">
        <v>350</v>
      </c>
      <c r="B289" s="4" t="n">
        <v>26</v>
      </c>
      <c r="C289" s="4" t="s">
        <v>28</v>
      </c>
      <c r="D289" s="4" t="s">
        <v>65</v>
      </c>
      <c r="E289" s="4" t="s">
        <v>37</v>
      </c>
      <c r="F289" s="4" t="s">
        <v>38</v>
      </c>
      <c r="G289" s="4" t="s">
        <v>21</v>
      </c>
      <c r="H289" s="4" t="s">
        <v>56</v>
      </c>
      <c r="I289" s="4" t="s">
        <v>23</v>
      </c>
      <c r="J289" s="4" t="n">
        <v>598</v>
      </c>
      <c r="K289" s="4" t="s">
        <v>24</v>
      </c>
      <c r="L289" s="4" t="n">
        <v>3</v>
      </c>
      <c r="M289" s="4" t="s">
        <v>41</v>
      </c>
      <c r="N289" s="4" t="s">
        <v>71</v>
      </c>
      <c r="O289" s="4" t="n">
        <v>3</v>
      </c>
      <c r="P289" s="4" t="n">
        <v>10</v>
      </c>
    </row>
    <row r="290" customFormat="false" ht="15" hidden="false" customHeight="true" outlineLevel="0" collapsed="false">
      <c r="A290" s="3" t="s">
        <v>351</v>
      </c>
      <c r="B290" s="3" t="n">
        <v>27</v>
      </c>
      <c r="C290" s="3" t="s">
        <v>28</v>
      </c>
      <c r="D290" s="3" t="s">
        <v>18</v>
      </c>
      <c r="E290" s="3" t="s">
        <v>37</v>
      </c>
      <c r="F290" s="3" t="s">
        <v>58</v>
      </c>
      <c r="G290" s="3" t="s">
        <v>21</v>
      </c>
      <c r="H290" s="3" t="s">
        <v>22</v>
      </c>
      <c r="I290" s="3" t="s">
        <v>60</v>
      </c>
      <c r="J290" s="3" t="n">
        <v>24105</v>
      </c>
      <c r="K290" s="3" t="s">
        <v>24</v>
      </c>
      <c r="L290" s="3" t="n">
        <v>4</v>
      </c>
      <c r="M290" s="3" t="s">
        <v>41</v>
      </c>
      <c r="N290" s="3" t="s">
        <v>34</v>
      </c>
      <c r="O290" s="3" t="n">
        <v>3</v>
      </c>
      <c r="P290" s="3" t="n">
        <v>6</v>
      </c>
    </row>
    <row r="291" customFormat="false" ht="15" hidden="false" customHeight="true" outlineLevel="0" collapsed="false">
      <c r="A291" s="4" t="s">
        <v>352</v>
      </c>
      <c r="B291" s="4" t="n">
        <v>57</v>
      </c>
      <c r="C291" s="4" t="s">
        <v>28</v>
      </c>
      <c r="D291" s="4" t="s">
        <v>43</v>
      </c>
      <c r="E291" s="4" t="s">
        <v>19</v>
      </c>
      <c r="F291" s="4" t="s">
        <v>58</v>
      </c>
      <c r="G291" s="4" t="s">
        <v>21</v>
      </c>
      <c r="H291" s="4" t="s">
        <v>68</v>
      </c>
      <c r="I291" s="4" t="s">
        <v>40</v>
      </c>
      <c r="J291" s="4" t="n">
        <v>19580</v>
      </c>
      <c r="K291" s="4" t="s">
        <v>24</v>
      </c>
      <c r="L291" s="4" t="n">
        <v>2</v>
      </c>
      <c r="M291" s="4" t="s">
        <v>46</v>
      </c>
      <c r="N291" s="4" t="s">
        <v>34</v>
      </c>
      <c r="O291" s="4" t="n">
        <v>5</v>
      </c>
      <c r="P291" s="4" t="n">
        <v>2</v>
      </c>
    </row>
    <row r="292" customFormat="false" ht="15" hidden="false" customHeight="true" outlineLevel="0" collapsed="false">
      <c r="A292" s="3" t="s">
        <v>353</v>
      </c>
      <c r="B292" s="3" t="n">
        <v>40</v>
      </c>
      <c r="C292" s="3" t="s">
        <v>17</v>
      </c>
      <c r="D292" s="3" t="s">
        <v>36</v>
      </c>
      <c r="E292" s="3" t="s">
        <v>19</v>
      </c>
      <c r="F292" s="3" t="s">
        <v>45</v>
      </c>
      <c r="G292" s="3" t="s">
        <v>51</v>
      </c>
      <c r="H292" s="3"/>
      <c r="I292" s="3"/>
      <c r="J292" s="3"/>
      <c r="K292" s="3"/>
      <c r="L292" s="3" t="n">
        <v>3</v>
      </c>
      <c r="M292" s="3" t="s">
        <v>41</v>
      </c>
      <c r="N292" s="3" t="s">
        <v>34</v>
      </c>
      <c r="O292" s="3" t="n">
        <v>2</v>
      </c>
      <c r="P292" s="3" t="n">
        <v>8</v>
      </c>
    </row>
    <row r="293" customFormat="false" ht="15" hidden="false" customHeight="true" outlineLevel="0" collapsed="false">
      <c r="A293" s="4" t="s">
        <v>354</v>
      </c>
      <c r="B293" s="4" t="n">
        <v>51</v>
      </c>
      <c r="C293" s="4" t="s">
        <v>17</v>
      </c>
      <c r="D293" s="4" t="s">
        <v>62</v>
      </c>
      <c r="E293" s="4" t="s">
        <v>19</v>
      </c>
      <c r="F293" s="4" t="s">
        <v>50</v>
      </c>
      <c r="G293" s="4" t="s">
        <v>21</v>
      </c>
      <c r="H293" s="4" t="s">
        <v>66</v>
      </c>
      <c r="I293" s="4" t="s">
        <v>69</v>
      </c>
      <c r="J293" s="4" t="n">
        <v>3544</v>
      </c>
      <c r="K293" s="4" t="s">
        <v>33</v>
      </c>
      <c r="L293" s="4" t="n">
        <v>1</v>
      </c>
      <c r="M293" s="4" t="s">
        <v>46</v>
      </c>
      <c r="N293" s="4" t="s">
        <v>84</v>
      </c>
      <c r="O293" s="4" t="n">
        <v>4</v>
      </c>
      <c r="P293" s="4" t="n">
        <v>9</v>
      </c>
    </row>
    <row r="294" customFormat="false" ht="15" hidden="false" customHeight="true" outlineLevel="0" collapsed="false">
      <c r="A294" s="3" t="s">
        <v>355</v>
      </c>
      <c r="B294" s="3" t="n">
        <v>19</v>
      </c>
      <c r="C294" s="3" t="s">
        <v>17</v>
      </c>
      <c r="D294" s="3" t="s">
        <v>65</v>
      </c>
      <c r="E294" s="3" t="s">
        <v>54</v>
      </c>
      <c r="F294" s="3"/>
      <c r="G294" s="3" t="s">
        <v>21</v>
      </c>
      <c r="H294" s="3" t="s">
        <v>56</v>
      </c>
      <c r="I294" s="3" t="s">
        <v>23</v>
      </c>
      <c r="J294" s="3"/>
      <c r="K294" s="3" t="s">
        <v>24</v>
      </c>
      <c r="L294" s="3" t="n">
        <v>5</v>
      </c>
      <c r="M294" s="3" t="s">
        <v>25</v>
      </c>
      <c r="N294" s="3" t="s">
        <v>34</v>
      </c>
      <c r="O294" s="3" t="n">
        <v>3</v>
      </c>
      <c r="P294" s="3" t="n">
        <v>3</v>
      </c>
    </row>
    <row r="295" customFormat="false" ht="15" hidden="false" customHeight="true" outlineLevel="0" collapsed="false">
      <c r="A295" s="4" t="s">
        <v>356</v>
      </c>
      <c r="B295" s="4"/>
      <c r="C295" s="4" t="s">
        <v>28</v>
      </c>
      <c r="D295" s="4" t="s">
        <v>53</v>
      </c>
      <c r="E295" s="4" t="s">
        <v>37</v>
      </c>
      <c r="F295" s="4"/>
      <c r="G295" s="4" t="s">
        <v>21</v>
      </c>
      <c r="H295" s="4" t="s">
        <v>66</v>
      </c>
      <c r="I295" s="4" t="s">
        <v>40</v>
      </c>
      <c r="J295" s="4" t="n">
        <v>2468</v>
      </c>
      <c r="K295" s="4" t="s">
        <v>70</v>
      </c>
      <c r="L295" s="4" t="n">
        <v>3</v>
      </c>
      <c r="M295" s="4" t="s">
        <v>46</v>
      </c>
      <c r="N295" s="4" t="s">
        <v>26</v>
      </c>
      <c r="O295" s="4" t="n">
        <v>3</v>
      </c>
      <c r="P295" s="4" t="n">
        <v>3</v>
      </c>
    </row>
    <row r="296" customFormat="false" ht="15" hidden="false" customHeight="true" outlineLevel="0" collapsed="false">
      <c r="A296" s="3" t="s">
        <v>357</v>
      </c>
      <c r="B296" s="3" t="n">
        <v>53</v>
      </c>
      <c r="C296" s="3" t="s">
        <v>17</v>
      </c>
      <c r="D296" s="3" t="s">
        <v>48</v>
      </c>
      <c r="E296" s="3" t="s">
        <v>19</v>
      </c>
      <c r="F296" s="3" t="s">
        <v>58</v>
      </c>
      <c r="G296" s="3" t="s">
        <v>21</v>
      </c>
      <c r="H296" s="3" t="s">
        <v>63</v>
      </c>
      <c r="I296" s="3" t="s">
        <v>69</v>
      </c>
      <c r="J296" s="3"/>
      <c r="K296" s="3" t="s">
        <v>70</v>
      </c>
      <c r="L296" s="3" t="n">
        <v>5</v>
      </c>
      <c r="M296" s="3" t="s">
        <v>41</v>
      </c>
      <c r="N296" s="3" t="s">
        <v>34</v>
      </c>
      <c r="O296" s="3" t="n">
        <v>4</v>
      </c>
      <c r="P296" s="3" t="n">
        <v>9</v>
      </c>
    </row>
    <row r="297" customFormat="false" ht="15" hidden="false" customHeight="true" outlineLevel="0" collapsed="false">
      <c r="A297" s="4" t="s">
        <v>358</v>
      </c>
      <c r="B297" s="4" t="n">
        <v>46</v>
      </c>
      <c r="C297" s="4" t="s">
        <v>17</v>
      </c>
      <c r="D297" s="4" t="s">
        <v>114</v>
      </c>
      <c r="E297" s="4" t="s">
        <v>49</v>
      </c>
      <c r="F297" s="4" t="s">
        <v>58</v>
      </c>
      <c r="G297" s="4" t="s">
        <v>21</v>
      </c>
      <c r="H297" s="4" t="s">
        <v>63</v>
      </c>
      <c r="I297" s="4" t="s">
        <v>40</v>
      </c>
      <c r="J297" s="4" t="n">
        <v>14386</v>
      </c>
      <c r="K297" s="4" t="s">
        <v>24</v>
      </c>
      <c r="L297" s="4" t="n">
        <v>2</v>
      </c>
      <c r="M297" s="4" t="s">
        <v>46</v>
      </c>
      <c r="N297" s="4" t="s">
        <v>34</v>
      </c>
      <c r="O297" s="4" t="n">
        <v>5</v>
      </c>
      <c r="P297" s="4" t="n">
        <v>9</v>
      </c>
    </row>
    <row r="298" customFormat="false" ht="15" hidden="false" customHeight="true" outlineLevel="0" collapsed="false">
      <c r="A298" s="3" t="s">
        <v>359</v>
      </c>
      <c r="B298" s="3" t="n">
        <v>49</v>
      </c>
      <c r="C298" s="3" t="s">
        <v>28</v>
      </c>
      <c r="D298" s="3" t="s">
        <v>62</v>
      </c>
      <c r="E298" s="3" t="s">
        <v>30</v>
      </c>
      <c r="F298" s="3" t="s">
        <v>20</v>
      </c>
      <c r="G298" s="3" t="s">
        <v>21</v>
      </c>
      <c r="H298" s="3" t="s">
        <v>56</v>
      </c>
      <c r="I298" s="3" t="s">
        <v>40</v>
      </c>
      <c r="J298" s="3" t="n">
        <v>2601</v>
      </c>
      <c r="K298" s="3" t="s">
        <v>24</v>
      </c>
      <c r="L298" s="3" t="n">
        <v>4</v>
      </c>
      <c r="M298" s="3" t="s">
        <v>41</v>
      </c>
      <c r="N298" s="3" t="s">
        <v>34</v>
      </c>
      <c r="O298" s="3" t="n">
        <v>3</v>
      </c>
      <c r="P298" s="3" t="n">
        <v>6</v>
      </c>
    </row>
    <row r="299" customFormat="false" ht="15" hidden="false" customHeight="true" outlineLevel="0" collapsed="false">
      <c r="A299" s="4" t="s">
        <v>360</v>
      </c>
      <c r="B299" s="4" t="n">
        <v>53</v>
      </c>
      <c r="C299" s="4" t="s">
        <v>17</v>
      </c>
      <c r="D299" s="4" t="s">
        <v>62</v>
      </c>
      <c r="E299" s="4" t="s">
        <v>30</v>
      </c>
      <c r="F299" s="4" t="s">
        <v>50</v>
      </c>
      <c r="G299" s="4" t="s">
        <v>21</v>
      </c>
      <c r="H299" s="4" t="s">
        <v>31</v>
      </c>
      <c r="I299" s="4" t="s">
        <v>32</v>
      </c>
      <c r="J299" s="4" t="n">
        <v>3145</v>
      </c>
      <c r="K299" s="4" t="s">
        <v>24</v>
      </c>
      <c r="L299" s="4" t="n">
        <v>5</v>
      </c>
      <c r="M299" s="4" t="s">
        <v>46</v>
      </c>
      <c r="N299" s="4" t="s">
        <v>71</v>
      </c>
      <c r="O299" s="4" t="n">
        <v>3</v>
      </c>
      <c r="P299" s="4" t="n">
        <v>3</v>
      </c>
    </row>
    <row r="300" customFormat="false" ht="15" hidden="false" customHeight="true" outlineLevel="0" collapsed="false">
      <c r="A300" s="3" t="s">
        <v>361</v>
      </c>
      <c r="B300" s="3" t="n">
        <v>48</v>
      </c>
      <c r="C300" s="3" t="s">
        <v>17</v>
      </c>
      <c r="D300" s="3" t="s">
        <v>48</v>
      </c>
      <c r="E300" s="3" t="s">
        <v>30</v>
      </c>
      <c r="F300" s="3"/>
      <c r="G300" s="3" t="s">
        <v>51</v>
      </c>
      <c r="H300" s="3"/>
      <c r="I300" s="3"/>
      <c r="J300" s="3"/>
      <c r="K300" s="3"/>
      <c r="L300" s="3" t="n">
        <v>2</v>
      </c>
      <c r="M300" s="3" t="s">
        <v>41</v>
      </c>
      <c r="N300" s="3" t="s">
        <v>26</v>
      </c>
      <c r="O300" s="3" t="n">
        <v>1</v>
      </c>
      <c r="P300" s="3" t="n">
        <v>3</v>
      </c>
    </row>
    <row r="301" customFormat="false" ht="15" hidden="false" customHeight="true" outlineLevel="0" collapsed="false">
      <c r="A301" s="4" t="s">
        <v>362</v>
      </c>
      <c r="B301" s="4" t="n">
        <v>30</v>
      </c>
      <c r="C301" s="4" t="s">
        <v>17</v>
      </c>
      <c r="D301" s="4" t="s">
        <v>29</v>
      </c>
      <c r="E301" s="4" t="s">
        <v>30</v>
      </c>
      <c r="F301" s="4" t="s">
        <v>45</v>
      </c>
      <c r="G301" s="4" t="s">
        <v>21</v>
      </c>
      <c r="H301" s="4" t="s">
        <v>39</v>
      </c>
      <c r="I301" s="4" t="s">
        <v>32</v>
      </c>
      <c r="J301" s="4" t="n">
        <v>13748</v>
      </c>
      <c r="K301" s="4" t="s">
        <v>33</v>
      </c>
      <c r="L301" s="4" t="n">
        <v>1</v>
      </c>
      <c r="M301" s="4" t="s">
        <v>25</v>
      </c>
      <c r="N301" s="4" t="s">
        <v>84</v>
      </c>
      <c r="O301" s="4" t="n">
        <v>2</v>
      </c>
      <c r="P301" s="4" t="n">
        <v>9</v>
      </c>
    </row>
    <row r="302" customFormat="false" ht="15" hidden="false" customHeight="true" outlineLevel="0" collapsed="false">
      <c r="A302" s="3" t="s">
        <v>363</v>
      </c>
      <c r="B302" s="3" t="n">
        <v>36</v>
      </c>
      <c r="C302" s="3" t="s">
        <v>28</v>
      </c>
      <c r="D302" s="3" t="s">
        <v>18</v>
      </c>
      <c r="E302" s="3" t="s">
        <v>19</v>
      </c>
      <c r="F302" s="3" t="s">
        <v>45</v>
      </c>
      <c r="G302" s="3" t="s">
        <v>51</v>
      </c>
      <c r="H302" s="3"/>
      <c r="I302" s="3"/>
      <c r="J302" s="3"/>
      <c r="K302" s="3"/>
      <c r="L302" s="3" t="n">
        <v>3</v>
      </c>
      <c r="M302" s="3" t="s">
        <v>41</v>
      </c>
      <c r="N302" s="3" t="s">
        <v>26</v>
      </c>
      <c r="O302" s="3" t="n">
        <v>1</v>
      </c>
      <c r="P302" s="3" t="n">
        <v>6</v>
      </c>
    </row>
    <row r="303" customFormat="false" ht="15" hidden="false" customHeight="true" outlineLevel="0" collapsed="false">
      <c r="A303" s="4" t="s">
        <v>364</v>
      </c>
      <c r="B303" s="4" t="n">
        <v>49</v>
      </c>
      <c r="C303" s="4" t="s">
        <v>17</v>
      </c>
      <c r="D303" s="4" t="s">
        <v>48</v>
      </c>
      <c r="E303" s="4" t="s">
        <v>37</v>
      </c>
      <c r="F303" s="4" t="s">
        <v>45</v>
      </c>
      <c r="G303" s="4" t="s">
        <v>51</v>
      </c>
      <c r="H303" s="4"/>
      <c r="I303" s="4"/>
      <c r="J303" s="4"/>
      <c r="K303" s="4"/>
      <c r="L303" s="4"/>
      <c r="M303" s="4" t="s">
        <v>41</v>
      </c>
      <c r="N303" s="4" t="s">
        <v>34</v>
      </c>
      <c r="O303" s="4" t="n">
        <v>3</v>
      </c>
      <c r="P303" s="4" t="n">
        <v>7</v>
      </c>
    </row>
    <row r="304" customFormat="false" ht="15" hidden="false" customHeight="true" outlineLevel="0" collapsed="false">
      <c r="A304" s="3" t="s">
        <v>365</v>
      </c>
      <c r="B304" s="3" t="n">
        <v>45</v>
      </c>
      <c r="C304" s="3" t="s">
        <v>17</v>
      </c>
      <c r="D304" s="3" t="s">
        <v>53</v>
      </c>
      <c r="E304" s="3" t="s">
        <v>44</v>
      </c>
      <c r="F304" s="3" t="s">
        <v>20</v>
      </c>
      <c r="G304" s="3" t="s">
        <v>21</v>
      </c>
      <c r="H304" s="3" t="s">
        <v>39</v>
      </c>
      <c r="I304" s="3"/>
      <c r="J304" s="3" t="n">
        <v>1115</v>
      </c>
      <c r="K304" s="3" t="s">
        <v>33</v>
      </c>
      <c r="L304" s="3" t="n">
        <v>1</v>
      </c>
      <c r="M304" s="3" t="s">
        <v>25</v>
      </c>
      <c r="N304" s="3" t="s">
        <v>71</v>
      </c>
      <c r="O304" s="3" t="n">
        <v>3</v>
      </c>
      <c r="P304" s="3"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S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6"/>
    <col collapsed="false" customWidth="true" hidden="false" outlineLevel="0" max="3" min="3" style="1" width="8"/>
    <col collapsed="false" customWidth="true" hidden="false" outlineLevel="0" max="4" min="4" style="1" width="12"/>
    <col collapsed="false" customWidth="true" hidden="false" outlineLevel="0" max="6" min="5" style="1" width="18"/>
    <col collapsed="false" customWidth="true" hidden="false" outlineLevel="0" max="7" min="7" style="1" width="20"/>
    <col collapsed="false" customWidth="true" hidden="false" outlineLevel="0" max="8" min="8" style="1" width="12"/>
    <col collapsed="false" customWidth="true" hidden="false" outlineLevel="0" max="9" min="9" style="1" width="18"/>
    <col collapsed="false" customWidth="true" hidden="false" outlineLevel="0" max="10" min="10" style="1" width="20"/>
    <col collapsed="false" customWidth="true" hidden="false" outlineLevel="0" max="11" min="11" style="1" width="18"/>
    <col collapsed="false" customWidth="true" hidden="false" outlineLevel="0" max="12" min="12" style="1" width="10"/>
    <col collapsed="false" customWidth="true" hidden="false" outlineLevel="0" max="13" min="13" style="1" width="14"/>
    <col collapsed="false" customWidth="true" hidden="false" outlineLevel="0" max="14" min="14" style="1" width="22"/>
    <col collapsed="false" customWidth="true" hidden="false" outlineLevel="0" max="15" min="15" style="1" width="16"/>
    <col collapsed="false" customWidth="true" hidden="false" outlineLevel="0" max="16" min="16" style="1" width="22"/>
    <col collapsed="false" customWidth="true" hidden="false" outlineLevel="0" max="17" min="17" style="1" width="10"/>
    <col collapsed="false" customWidth="true" hidden="false" outlineLevel="0" max="18" min="18" style="1" width="15"/>
    <col collapsed="false" customWidth="true" hidden="false" outlineLevel="0" max="19" min="19" style="1" width="11"/>
  </cols>
  <sheetData>
    <row r="1" customFormat="false" ht="34.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366</v>
      </c>
      <c r="R1" s="2" t="s">
        <v>367</v>
      </c>
      <c r="S1" s="2" t="s">
        <v>368</v>
      </c>
    </row>
    <row r="2" customFormat="false" ht="15" hidden="false" customHeight="true" outlineLevel="0" collapsed="false">
      <c r="A2" s="3" t="str">
        <f aca="false">Raw_Data!A2</f>
        <v>R001</v>
      </c>
      <c r="B2" s="3" t="n">
        <f aca="false">Raw_Data!B2</f>
        <v>25</v>
      </c>
      <c r="C2" s="3" t="str">
        <f aca="false">Raw_Data!C2</f>
        <v>Female</v>
      </c>
      <c r="D2" s="3" t="str">
        <f aca="false">Raw_Data!D2</f>
        <v>Chennai</v>
      </c>
      <c r="E2" s="3" t="str">
        <f aca="false">Raw_Data!E2</f>
        <v>Student</v>
      </c>
      <c r="F2" s="3" t="str">
        <f aca="false">Raw_Data!F2</f>
        <v>20,000-40,000</v>
      </c>
      <c r="G2" s="3" t="str">
        <f aca="false">Raw_Data!G2</f>
        <v>Yes</v>
      </c>
      <c r="H2" s="3" t="str">
        <f aca="false">Raw_Data!H2</f>
        <v>PhonePe</v>
      </c>
      <c r="I2" s="3" t="str">
        <f aca="false">Raw_Data!I2</f>
        <v>Quarterly</v>
      </c>
      <c r="J2" s="3" t="n">
        <f aca="false">Raw_Data!J2</f>
        <v>1597</v>
      </c>
      <c r="K2" s="3" t="str">
        <f aca="false">Raw_Data!K2</f>
        <v>Savings</v>
      </c>
      <c r="L2" s="3" t="n">
        <f aca="false">Raw_Data!L2</f>
        <v>4</v>
      </c>
      <c r="M2" s="3" t="str">
        <f aca="false">Raw_Data!M2</f>
        <v>Medium</v>
      </c>
      <c r="N2" s="3" t="str">
        <f aca="false">Raw_Data!N2</f>
        <v>Fixed Deposit</v>
      </c>
      <c r="O2" s="3" t="n">
        <f aca="false">Raw_Data!O2</f>
        <v>1</v>
      </c>
      <c r="P2" s="3" t="n">
        <f aca="false">Raw_Data!P2</f>
        <v>8</v>
      </c>
      <c r="Q2" s="3" t="str">
        <f aca="false">IF(OR(B2="",B2=0),"Unknown",IF(B2&lt;=25,"18-25",IF(B2&lt;=35,"26-35",IF(B2&lt;=45,"36-45","46+"))))</f>
        <v>18-25</v>
      </c>
      <c r="R2" s="3" t="n">
        <f aca="false">IF(F2="Below 20,000",10000,IF(F2="20,000-40,000",30000,IF(F2="40,000-60,000",50000,IF(F2="60,000-80,000",70000,IF(F2="Above 80,000",100000,0)))))</f>
        <v>30000</v>
      </c>
      <c r="S2" s="3" t="n">
        <f aca="false">IF(G2="Yes",1,0)</f>
        <v>1</v>
      </c>
    </row>
    <row r="3" customFormat="false" ht="15" hidden="false" customHeight="true" outlineLevel="0" collapsed="false">
      <c r="A3" s="4" t="str">
        <f aca="false">Raw_Data!A3</f>
        <v>R002</v>
      </c>
      <c r="B3" s="4" t="n">
        <f aca="false">Raw_Data!B3</f>
        <v>60</v>
      </c>
      <c r="C3" s="4" t="str">
        <f aca="false">Raw_Data!C3</f>
        <v>Male</v>
      </c>
      <c r="D3" s="4" t="str">
        <f aca="false">Raw_Data!D3</f>
        <v>Mumbai</v>
      </c>
      <c r="E3" s="4" t="str">
        <f aca="false">Raw_Data!E3</f>
        <v>Homemaker</v>
      </c>
      <c r="F3" s="4" t="n">
        <f aca="false">Raw_Data!F3</f>
        <v>0</v>
      </c>
      <c r="G3" s="4" t="str">
        <f aca="false">Raw_Data!G3</f>
        <v>Yes</v>
      </c>
      <c r="H3" s="4" t="str">
        <f aca="false">Raw_Data!H3</f>
        <v>Zerodha</v>
      </c>
      <c r="I3" s="4" t="str">
        <f aca="false">Raw_Data!I3</f>
        <v>Weekly</v>
      </c>
      <c r="J3" s="4" t="n">
        <f aca="false">Raw_Data!J3</f>
        <v>389</v>
      </c>
      <c r="K3" s="4" t="str">
        <f aca="false">Raw_Data!K3</f>
        <v>Investment</v>
      </c>
      <c r="L3" s="4" t="n">
        <f aca="false">Raw_Data!L3</f>
        <v>5</v>
      </c>
      <c r="M3" s="4" t="str">
        <f aca="false">Raw_Data!M3</f>
        <v>Medium</v>
      </c>
      <c r="N3" s="4" t="str">
        <f aca="false">Raw_Data!N3</f>
        <v>Digital Gold</v>
      </c>
      <c r="O3" s="4" t="n">
        <f aca="false">Raw_Data!O3</f>
        <v>2</v>
      </c>
      <c r="P3" s="4" t="n">
        <f aca="false">Raw_Data!P3</f>
        <v>5</v>
      </c>
      <c r="Q3" s="4" t="str">
        <f aca="false">IF(OR(B3="",B3=0),"Unknown",IF(B3&lt;=25,"18-25",IF(B3&lt;=35,"26-35",IF(B3&lt;=45,"36-45","46+"))))</f>
        <v>46+</v>
      </c>
      <c r="R3" s="4" t="n">
        <f aca="false">IF(F3="Below 20,000",10000,IF(F3="20,000-40,000",30000,IF(F3="40,000-60,000",50000,IF(F3="60,000-80,000",70000,IF(F3="Above 80,000",100000,0)))))</f>
        <v>0</v>
      </c>
      <c r="S3" s="4" t="n">
        <f aca="false">IF(G3="Yes",1,0)</f>
        <v>1</v>
      </c>
    </row>
    <row r="4" customFormat="false" ht="15" hidden="false" customHeight="true" outlineLevel="0" collapsed="false">
      <c r="A4" s="3" t="str">
        <f aca="false">Raw_Data!A4</f>
        <v>R003</v>
      </c>
      <c r="B4" s="3" t="n">
        <f aca="false">Raw_Data!B4</f>
        <v>41</v>
      </c>
      <c r="C4" s="3" t="str">
        <f aca="false">Raw_Data!C4</f>
        <v>Female</v>
      </c>
      <c r="D4" s="3" t="str">
        <f aca="false">Raw_Data!D4</f>
        <v>Bangalore</v>
      </c>
      <c r="E4" s="3" t="str">
        <f aca="false">Raw_Data!E4</f>
        <v>Salaried</v>
      </c>
      <c r="F4" s="3" t="str">
        <f aca="false">Raw_Data!F4</f>
        <v>Below 20,000</v>
      </c>
      <c r="G4" s="3" t="str">
        <f aca="false">Raw_Data!G4</f>
        <v>Yes</v>
      </c>
      <c r="H4" s="3" t="str">
        <f aca="false">Raw_Data!H4</f>
        <v>Paytm</v>
      </c>
      <c r="I4" s="3" t="str">
        <f aca="false">Raw_Data!I4</f>
        <v>Daily</v>
      </c>
      <c r="J4" s="3" t="n">
        <f aca="false">Raw_Data!J4</f>
        <v>568</v>
      </c>
      <c r="K4" s="3" t="str">
        <f aca="false">Raw_Data!K4</f>
        <v>Savings</v>
      </c>
      <c r="L4" s="3" t="n">
        <f aca="false">Raw_Data!L4</f>
        <v>4</v>
      </c>
      <c r="M4" s="3" t="str">
        <f aca="false">Raw_Data!M4</f>
        <v>Low</v>
      </c>
      <c r="N4" s="3" t="str">
        <f aca="false">Raw_Data!N4</f>
        <v>Digital Gold</v>
      </c>
      <c r="O4" s="3" t="n">
        <f aca="false">Raw_Data!O4</f>
        <v>5</v>
      </c>
      <c r="P4" s="3" t="n">
        <f aca="false">Raw_Data!P4</f>
        <v>1</v>
      </c>
      <c r="Q4" s="3" t="str">
        <f aca="false">IF(OR(B4="",B4=0),"Unknown",IF(B4&lt;=25,"18-25",IF(B4&lt;=35,"26-35",IF(B4&lt;=45,"36-45","46+"))))</f>
        <v>36-45</v>
      </c>
      <c r="R4" s="3" t="n">
        <f aca="false">IF(F4="Below 20,000",10000,IF(F4="20,000-40,000",30000,IF(F4="40,000-60,000",50000,IF(F4="60,000-80,000",70000,IF(F4="Above 80,000",100000,0)))))</f>
        <v>10000</v>
      </c>
      <c r="S4" s="3" t="n">
        <f aca="false">IF(G4="Yes",1,0)</f>
        <v>1</v>
      </c>
    </row>
    <row r="5" customFormat="false" ht="15" hidden="false" customHeight="true" outlineLevel="0" collapsed="false">
      <c r="A5" s="4" t="str">
        <f aca="false">Raw_Data!A5</f>
        <v>R004</v>
      </c>
      <c r="B5" s="4" t="n">
        <f aca="false">Raw_Data!B5</f>
        <v>52</v>
      </c>
      <c r="C5" s="4" t="str">
        <f aca="false">Raw_Data!C5</f>
        <v>Male</v>
      </c>
      <c r="D5" s="4" t="str">
        <f aca="false">Raw_Data!D5</f>
        <v>Lucknow</v>
      </c>
      <c r="E5" s="4" t="str">
        <f aca="false">Raw_Data!E5</f>
        <v>Government Employee</v>
      </c>
      <c r="F5" s="4" t="str">
        <f aca="false">Raw_Data!F5</f>
        <v>60,000-80,000</v>
      </c>
      <c r="G5" s="4" t="str">
        <f aca="false">Raw_Data!G5</f>
        <v>Yes</v>
      </c>
      <c r="H5" s="4" t="str">
        <f aca="false">Raw_Data!H5</f>
        <v>Paytm</v>
      </c>
      <c r="I5" s="4" t="str">
        <f aca="false">Raw_Data!I5</f>
        <v>Quarterly</v>
      </c>
      <c r="J5" s="4" t="n">
        <f aca="false">Raw_Data!J5</f>
        <v>7896</v>
      </c>
      <c r="K5" s="4" t="str">
        <f aca="false">Raw_Data!K5</f>
        <v>Investment</v>
      </c>
      <c r="L5" s="4" t="n">
        <f aca="false">Raw_Data!L5</f>
        <v>4</v>
      </c>
      <c r="M5" s="4" t="str">
        <f aca="false">Raw_Data!M5</f>
        <v>High</v>
      </c>
      <c r="N5" s="4" t="str">
        <f aca="false">Raw_Data!N5</f>
        <v>Digital Gold</v>
      </c>
      <c r="O5" s="4" t="n">
        <f aca="false">Raw_Data!O5</f>
        <v>5</v>
      </c>
      <c r="P5" s="4" t="n">
        <f aca="false">Raw_Data!P5</f>
        <v>10</v>
      </c>
      <c r="Q5" s="4" t="str">
        <f aca="false">IF(OR(B5="",B5=0),"Unknown",IF(B5&lt;=25,"18-25",IF(B5&lt;=35,"26-35",IF(B5&lt;=45,"36-45","46+"))))</f>
        <v>46+</v>
      </c>
      <c r="R5" s="4" t="n">
        <f aca="false">IF(F5="Below 20,000",10000,IF(F5="20,000-40,000",30000,IF(F5="40,000-60,000",50000,IF(F5="60,000-80,000",70000,IF(F5="Above 80,000",100000,0)))))</f>
        <v>70000</v>
      </c>
      <c r="S5" s="4" t="n">
        <f aca="false">IF(G5="Yes",1,0)</f>
        <v>1</v>
      </c>
    </row>
    <row r="6" customFormat="false" ht="15" hidden="false" customHeight="true" outlineLevel="0" collapsed="false">
      <c r="A6" s="3" t="str">
        <f aca="false">Raw_Data!A6</f>
        <v>R005</v>
      </c>
      <c r="B6" s="3" t="n">
        <f aca="false">Raw_Data!B6</f>
        <v>51</v>
      </c>
      <c r="C6" s="3" t="str">
        <f aca="false">Raw_Data!C6</f>
        <v>Female</v>
      </c>
      <c r="D6" s="3" t="str">
        <f aca="false">Raw_Data!D6</f>
        <v>Kolkata</v>
      </c>
      <c r="E6" s="3" t="str">
        <f aca="false">Raw_Data!E6</f>
        <v>Business</v>
      </c>
      <c r="F6" s="3" t="str">
        <f aca="false">Raw_Data!F6</f>
        <v>40,000-60,000</v>
      </c>
      <c r="G6" s="3" t="str">
        <f aca="false">Raw_Data!G6</f>
        <v>No</v>
      </c>
      <c r="H6" s="3" t="n">
        <f aca="false">Raw_Data!H6</f>
        <v>0</v>
      </c>
      <c r="I6" s="3" t="n">
        <f aca="false">Raw_Data!I6</f>
        <v>0</v>
      </c>
      <c r="J6" s="3" t="n">
        <f aca="false">Raw_Data!J6</f>
        <v>0</v>
      </c>
      <c r="K6" s="3" t="n">
        <f aca="false">Raw_Data!K6</f>
        <v>0</v>
      </c>
      <c r="L6" s="3" t="n">
        <f aca="false">Raw_Data!L6</f>
        <v>2</v>
      </c>
      <c r="M6" s="3" t="str">
        <f aca="false">Raw_Data!M6</f>
        <v>High</v>
      </c>
      <c r="N6" s="3" t="str">
        <f aca="false">Raw_Data!N6</f>
        <v>Digital Gold</v>
      </c>
      <c r="O6" s="3" t="n">
        <f aca="false">Raw_Data!O6</f>
        <v>5</v>
      </c>
      <c r="P6" s="3" t="n">
        <f aca="false">Raw_Data!P6</f>
        <v>3</v>
      </c>
      <c r="Q6" s="3" t="str">
        <f aca="false">IF(OR(B6="",B6=0),"Unknown",IF(B6&lt;=25,"18-25",IF(B6&lt;=35,"26-35",IF(B6&lt;=45,"36-45","46+"))))</f>
        <v>46+</v>
      </c>
      <c r="R6" s="3" t="n">
        <f aca="false">IF(F6="Below 20,000",10000,IF(F6="20,000-40,000",30000,IF(F6="40,000-60,000",50000,IF(F6="60,000-80,000",70000,IF(F6="Above 80,000",100000,0)))))</f>
        <v>50000</v>
      </c>
      <c r="S6" s="3" t="n">
        <f aca="false">IF(G6="Yes",1,0)</f>
        <v>0</v>
      </c>
    </row>
    <row r="7" customFormat="false" ht="15" hidden="false" customHeight="true" outlineLevel="0" collapsed="false">
      <c r="A7" s="4" t="str">
        <f aca="false">Raw_Data!A7</f>
        <v>R006</v>
      </c>
      <c r="B7" s="4" t="n">
        <f aca="false">Raw_Data!B7</f>
        <v>36</v>
      </c>
      <c r="C7" s="4" t="str">
        <f aca="false">Raw_Data!C7</f>
        <v>Male</v>
      </c>
      <c r="D7" s="4" t="str">
        <f aca="false">Raw_Data!D7</f>
        <v>Delhi</v>
      </c>
      <c r="E7" s="4" t="str">
        <f aca="false">Raw_Data!E7</f>
        <v>Freelancer</v>
      </c>
      <c r="F7" s="4" t="str">
        <f aca="false">Raw_Data!F7</f>
        <v>Below 20,000</v>
      </c>
      <c r="G7" s="4" t="str">
        <f aca="false">Raw_Data!G7</f>
        <v>No</v>
      </c>
      <c r="H7" s="4" t="n">
        <f aca="false">Raw_Data!H7</f>
        <v>0</v>
      </c>
      <c r="I7" s="4" t="n">
        <f aca="false">Raw_Data!I7</f>
        <v>0</v>
      </c>
      <c r="J7" s="4" t="n">
        <f aca="false">Raw_Data!J7</f>
        <v>0</v>
      </c>
      <c r="K7" s="4" t="n">
        <f aca="false">Raw_Data!K7</f>
        <v>0</v>
      </c>
      <c r="L7" s="4" t="n">
        <f aca="false">Raw_Data!L7</f>
        <v>1</v>
      </c>
      <c r="M7" s="4" t="str">
        <f aca="false">Raw_Data!M7</f>
        <v>High</v>
      </c>
      <c r="N7" s="4" t="str">
        <f aca="false">Raw_Data!N7</f>
        <v>Digital Gold</v>
      </c>
      <c r="O7" s="4" t="n">
        <f aca="false">Raw_Data!O7</f>
        <v>2</v>
      </c>
      <c r="P7" s="4" t="n">
        <f aca="false">Raw_Data!P7</f>
        <v>9</v>
      </c>
      <c r="Q7" s="4" t="str">
        <f aca="false">IF(OR(B7="",B7=0),"Unknown",IF(B7&lt;=25,"18-25",IF(B7&lt;=35,"26-35",IF(B7&lt;=45,"36-45","46+"))))</f>
        <v>36-45</v>
      </c>
      <c r="R7" s="4" t="n">
        <f aca="false">IF(F7="Below 20,000",10000,IF(F7="20,000-40,000",30000,IF(F7="40,000-60,000",50000,IF(F7="60,000-80,000",70000,IF(F7="Above 80,000",100000,0)))))</f>
        <v>10000</v>
      </c>
      <c r="S7" s="4" t="n">
        <f aca="false">IF(G7="Yes",1,0)</f>
        <v>0</v>
      </c>
    </row>
    <row r="8" customFormat="false" ht="15" hidden="false" customHeight="true" outlineLevel="0" collapsed="false">
      <c r="A8" s="3" t="str">
        <f aca="false">Raw_Data!A8</f>
        <v>R007</v>
      </c>
      <c r="B8" s="3" t="n">
        <f aca="false">Raw_Data!B8</f>
        <v>21</v>
      </c>
      <c r="C8" s="3" t="str">
        <f aca="false">Raw_Data!C8</f>
        <v>Female</v>
      </c>
      <c r="D8" s="3" t="str">
        <f aca="false">Raw_Data!D8</f>
        <v>Delhi</v>
      </c>
      <c r="E8" s="3" t="str">
        <f aca="false">Raw_Data!E8</f>
        <v>Government Employee</v>
      </c>
      <c r="F8" s="3" t="str">
        <f aca="false">Raw_Data!F8</f>
        <v>Below 20,000</v>
      </c>
      <c r="G8" s="3" t="str">
        <f aca="false">Raw_Data!G8</f>
        <v>Yes</v>
      </c>
      <c r="H8" s="3" t="str">
        <f aca="false">Raw_Data!H8</f>
        <v>Others</v>
      </c>
      <c r="I8" s="3" t="str">
        <f aca="false">Raw_Data!I8</f>
        <v>Quarterly</v>
      </c>
      <c r="J8" s="3" t="n">
        <f aca="false">Raw_Data!J8</f>
        <v>266</v>
      </c>
      <c r="K8" s="3" t="str">
        <f aca="false">Raw_Data!K8</f>
        <v>Investment</v>
      </c>
      <c r="L8" s="3" t="n">
        <f aca="false">Raw_Data!L8</f>
        <v>2</v>
      </c>
      <c r="M8" s="3" t="str">
        <f aca="false">Raw_Data!M8</f>
        <v>Medium</v>
      </c>
      <c r="N8" s="3" t="str">
        <f aca="false">Raw_Data!N8</f>
        <v>Fixed Deposit</v>
      </c>
      <c r="O8" s="3" t="n">
        <f aca="false">Raw_Data!O8</f>
        <v>1</v>
      </c>
      <c r="P8" s="3" t="n">
        <f aca="false">Raw_Data!P8</f>
        <v>7</v>
      </c>
      <c r="Q8" s="3" t="str">
        <f aca="false">IF(OR(B8="",B8=0),"Unknown",IF(B8&lt;=25,"18-25",IF(B8&lt;=35,"26-35",IF(B8&lt;=45,"36-45","46+"))))</f>
        <v>18-25</v>
      </c>
      <c r="R8" s="3" t="n">
        <f aca="false">IF(F8="Below 20,000",10000,IF(F8="20,000-40,000",30000,IF(F8="40,000-60,000",50000,IF(F8="60,000-80,000",70000,IF(F8="Above 80,000",100000,0)))))</f>
        <v>10000</v>
      </c>
      <c r="S8" s="3" t="n">
        <f aca="false">IF(G8="Yes",1,0)</f>
        <v>1</v>
      </c>
    </row>
    <row r="9" customFormat="false" ht="15" hidden="false" customHeight="true" outlineLevel="0" collapsed="false">
      <c r="A9" s="4" t="str">
        <f aca="false">Raw_Data!A9</f>
        <v>R008</v>
      </c>
      <c r="B9" s="4" t="n">
        <f aca="false">Raw_Data!B9</f>
        <v>59</v>
      </c>
      <c r="C9" s="4" t="str">
        <f aca="false">Raw_Data!C9</f>
        <v>Male</v>
      </c>
      <c r="D9" s="4" t="str">
        <f aca="false">Raw_Data!D9</f>
        <v>Kolkata</v>
      </c>
      <c r="E9" s="4" t="str">
        <f aca="false">Raw_Data!E9</f>
        <v>Business</v>
      </c>
      <c r="F9" s="4" t="str">
        <f aca="false">Raw_Data!F9</f>
        <v>Above 80,000</v>
      </c>
      <c r="G9" s="4" t="str">
        <f aca="false">Raw_Data!G9</f>
        <v>No</v>
      </c>
      <c r="H9" s="4" t="n">
        <f aca="false">Raw_Data!H9</f>
        <v>0</v>
      </c>
      <c r="I9" s="4" t="n">
        <f aca="false">Raw_Data!I9</f>
        <v>0</v>
      </c>
      <c r="J9" s="4" t="n">
        <f aca="false">Raw_Data!J9</f>
        <v>0</v>
      </c>
      <c r="K9" s="4" t="n">
        <f aca="false">Raw_Data!K9</f>
        <v>0</v>
      </c>
      <c r="L9" s="4" t="n">
        <f aca="false">Raw_Data!L9</f>
        <v>1</v>
      </c>
      <c r="M9" s="4" t="str">
        <f aca="false">Raw_Data!M9</f>
        <v>Low</v>
      </c>
      <c r="N9" s="4" t="str">
        <f aca="false">Raw_Data!N9</f>
        <v>Digital Gold</v>
      </c>
      <c r="O9" s="4" t="n">
        <f aca="false">Raw_Data!O9</f>
        <v>3</v>
      </c>
      <c r="P9" s="4" t="n">
        <f aca="false">Raw_Data!P9</f>
        <v>7</v>
      </c>
      <c r="Q9" s="4" t="str">
        <f aca="false">IF(OR(B9="",B9=0),"Unknown",IF(B9&lt;=25,"18-25",IF(B9&lt;=35,"26-35",IF(B9&lt;=45,"36-45","46+"))))</f>
        <v>46+</v>
      </c>
      <c r="R9" s="4" t="n">
        <f aca="false">IF(F9="Below 20,000",10000,IF(F9="20,000-40,000",30000,IF(F9="40,000-60,000",50000,IF(F9="60,000-80,000",70000,IF(F9="Above 80,000",100000,0)))))</f>
        <v>100000</v>
      </c>
      <c r="S9" s="4" t="n">
        <f aca="false">IF(G9="Yes",1,0)</f>
        <v>0</v>
      </c>
    </row>
    <row r="10" customFormat="false" ht="15" hidden="false" customHeight="true" outlineLevel="0" collapsed="false">
      <c r="A10" s="3" t="str">
        <f aca="false">Raw_Data!A10</f>
        <v>R009</v>
      </c>
      <c r="B10" s="3" t="n">
        <f aca="false">Raw_Data!B10</f>
        <v>18</v>
      </c>
      <c r="C10" s="3" t="str">
        <f aca="false">Raw_Data!C10</f>
        <v>Female</v>
      </c>
      <c r="D10" s="3" t="str">
        <f aca="false">Raw_Data!D10</f>
        <v>Lucknow</v>
      </c>
      <c r="E10" s="3" t="str">
        <f aca="false">Raw_Data!E10</f>
        <v>Government Employee</v>
      </c>
      <c r="F10" s="3" t="n">
        <f aca="false">Raw_Data!F10</f>
        <v>0</v>
      </c>
      <c r="G10" s="3" t="str">
        <f aca="false">Raw_Data!G10</f>
        <v>Yes</v>
      </c>
      <c r="H10" s="3" t="str">
        <f aca="false">Raw_Data!H10</f>
        <v>Zerodha</v>
      </c>
      <c r="I10" s="3" t="str">
        <f aca="false">Raw_Data!I10</f>
        <v>Rarely</v>
      </c>
      <c r="J10" s="3" t="n">
        <f aca="false">Raw_Data!J10</f>
        <v>821</v>
      </c>
      <c r="K10" s="3" t="str">
        <f aca="false">Raw_Data!K10</f>
        <v>Savings</v>
      </c>
      <c r="L10" s="3" t="n">
        <f aca="false">Raw_Data!L10</f>
        <v>5</v>
      </c>
      <c r="M10" s="3" t="str">
        <f aca="false">Raw_Data!M10</f>
        <v>Low</v>
      </c>
      <c r="N10" s="3" t="str">
        <f aca="false">Raw_Data!N10</f>
        <v>Fixed Deposit</v>
      </c>
      <c r="O10" s="3" t="n">
        <f aca="false">Raw_Data!O10</f>
        <v>3</v>
      </c>
      <c r="P10" s="3" t="n">
        <f aca="false">Raw_Data!P10</f>
        <v>7</v>
      </c>
      <c r="Q10" s="3" t="str">
        <f aca="false">IF(OR(B10="",B10=0),"Unknown",IF(B10&lt;=25,"18-25",IF(B10&lt;=35,"26-35",IF(B10&lt;=45,"36-45","46+"))))</f>
        <v>18-25</v>
      </c>
      <c r="R10" s="3" t="n">
        <f aca="false">IF(F10="Below 20,000",10000,IF(F10="20,000-40,000",30000,IF(F10="40,000-60,000",50000,IF(F10="60,000-80,000",70000,IF(F10="Above 80,000",100000,0)))))</f>
        <v>0</v>
      </c>
      <c r="S10" s="3" t="n">
        <f aca="false">IF(G10="Yes",1,0)</f>
        <v>1</v>
      </c>
    </row>
    <row r="11" customFormat="false" ht="15" hidden="false" customHeight="true" outlineLevel="0" collapsed="false">
      <c r="A11" s="4" t="str">
        <f aca="false">Raw_Data!A11</f>
        <v>R010</v>
      </c>
      <c r="B11" s="4" t="n">
        <f aca="false">Raw_Data!B11</f>
        <v>38</v>
      </c>
      <c r="C11" s="4" t="str">
        <f aca="false">Raw_Data!C11</f>
        <v>Male</v>
      </c>
      <c r="D11" s="4" t="str">
        <f aca="false">Raw_Data!D11</f>
        <v>Jaipur</v>
      </c>
      <c r="E11" s="4" t="str">
        <f aca="false">Raw_Data!E11</f>
        <v>Student</v>
      </c>
      <c r="F11" s="4" t="str">
        <f aca="false">Raw_Data!F11</f>
        <v>Below 20,000</v>
      </c>
      <c r="G11" s="4" t="str">
        <f aca="false">Raw_Data!G11</f>
        <v>Yes</v>
      </c>
      <c r="H11" s="4" t="str">
        <f aca="false">Raw_Data!H11</f>
        <v>Google Pay</v>
      </c>
      <c r="I11" s="4" t="str">
        <f aca="false">Raw_Data!I11</f>
        <v>Rarely</v>
      </c>
      <c r="J11" s="4" t="n">
        <f aca="false">Raw_Data!J11</f>
        <v>256</v>
      </c>
      <c r="K11" s="4" t="str">
        <f aca="false">Raw_Data!K11</f>
        <v>Savings</v>
      </c>
      <c r="L11" s="4" t="n">
        <f aca="false">Raw_Data!L11</f>
        <v>1</v>
      </c>
      <c r="M11" s="4" t="str">
        <f aca="false">Raw_Data!M11</f>
        <v>High</v>
      </c>
      <c r="N11" s="4" t="str">
        <f aca="false">Raw_Data!N11</f>
        <v>Digital Gold</v>
      </c>
      <c r="O11" s="4" t="n">
        <f aca="false">Raw_Data!O11</f>
        <v>1</v>
      </c>
      <c r="P11" s="4" t="n">
        <f aca="false">Raw_Data!P11</f>
        <v>2</v>
      </c>
      <c r="Q11" s="4" t="str">
        <f aca="false">IF(OR(B11="",B11=0),"Unknown",IF(B11&lt;=25,"18-25",IF(B11&lt;=35,"26-35",IF(B11&lt;=45,"36-45","46+"))))</f>
        <v>36-45</v>
      </c>
      <c r="R11" s="4" t="n">
        <f aca="false">IF(F11="Below 20,000",10000,IF(F11="20,000-40,000",30000,IF(F11="40,000-60,000",50000,IF(F11="60,000-80,000",70000,IF(F11="Above 80,000",100000,0)))))</f>
        <v>10000</v>
      </c>
      <c r="S11" s="4" t="n">
        <f aca="false">IF(G11="Yes",1,0)</f>
        <v>1</v>
      </c>
    </row>
    <row r="12" customFormat="false" ht="15" hidden="false" customHeight="true" outlineLevel="0" collapsed="false">
      <c r="A12" s="3" t="str">
        <f aca="false">Raw_Data!A12</f>
        <v>R011</v>
      </c>
      <c r="B12" s="3" t="n">
        <f aca="false">Raw_Data!B12</f>
        <v>22</v>
      </c>
      <c r="C12" s="3" t="str">
        <f aca="false">Raw_Data!C12</f>
        <v>Female</v>
      </c>
      <c r="D12" s="3" t="str">
        <f aca="false">Raw_Data!D12</f>
        <v>Ahmedabad</v>
      </c>
      <c r="E12" s="3" t="str">
        <f aca="false">Raw_Data!E12</f>
        <v>Freelancer</v>
      </c>
      <c r="F12" s="3" t="str">
        <f aca="false">Raw_Data!F12</f>
        <v>Above 80,000</v>
      </c>
      <c r="G12" s="3" t="str">
        <f aca="false">Raw_Data!G12</f>
        <v>Yes</v>
      </c>
      <c r="H12" s="3" t="str">
        <f aca="false">Raw_Data!H12</f>
        <v>MMTC-PAMP</v>
      </c>
      <c r="I12" s="3" t="str">
        <f aca="false">Raw_Data!I12</f>
        <v>Quarterly</v>
      </c>
      <c r="J12" s="3" t="n">
        <f aca="false">Raw_Data!J12</f>
        <v>13020</v>
      </c>
      <c r="K12" s="3" t="str">
        <f aca="false">Raw_Data!K12</f>
        <v>Savings</v>
      </c>
      <c r="L12" s="3" t="n">
        <f aca="false">Raw_Data!L12</f>
        <v>2</v>
      </c>
      <c r="M12" s="3" t="str">
        <f aca="false">Raw_Data!M12</f>
        <v>High</v>
      </c>
      <c r="N12" s="3" t="str">
        <f aca="false">Raw_Data!N12</f>
        <v>Digital Gold</v>
      </c>
      <c r="O12" s="3" t="n">
        <f aca="false">Raw_Data!O12</f>
        <v>5</v>
      </c>
      <c r="P12" s="3" t="n">
        <f aca="false">Raw_Data!P12</f>
        <v>8</v>
      </c>
      <c r="Q12" s="3" t="str">
        <f aca="false">IF(OR(B12="",B12=0),"Unknown",IF(B12&lt;=25,"18-25",IF(B12&lt;=35,"26-35",IF(B12&lt;=45,"36-45","46+"))))</f>
        <v>18-25</v>
      </c>
      <c r="R12" s="3" t="n">
        <f aca="false">IF(F12="Below 20,000",10000,IF(F12="20,000-40,000",30000,IF(F12="40,000-60,000",50000,IF(F12="60,000-80,000",70000,IF(F12="Above 80,000",100000,0)))))</f>
        <v>100000</v>
      </c>
      <c r="S12" s="3" t="n">
        <f aca="false">IF(G12="Yes",1,0)</f>
        <v>1</v>
      </c>
    </row>
    <row r="13" customFormat="false" ht="15" hidden="false" customHeight="true" outlineLevel="0" collapsed="false">
      <c r="A13" s="4" t="str">
        <f aca="false">Raw_Data!A13</f>
        <v>R012</v>
      </c>
      <c r="B13" s="4" t="n">
        <f aca="false">Raw_Data!B13</f>
        <v>36</v>
      </c>
      <c r="C13" s="4" t="str">
        <f aca="false">Raw_Data!C13</f>
        <v>Female</v>
      </c>
      <c r="D13" s="4" t="str">
        <f aca="false">Raw_Data!D13</f>
        <v>Kolkata</v>
      </c>
      <c r="E13" s="4" t="str">
        <f aca="false">Raw_Data!E13</f>
        <v>Freelancer</v>
      </c>
      <c r="F13" s="4" t="str">
        <f aca="false">Raw_Data!F13</f>
        <v>Above 80,000</v>
      </c>
      <c r="G13" s="4" t="str">
        <f aca="false">Raw_Data!G13</f>
        <v>Yes</v>
      </c>
      <c r="H13" s="4" t="str">
        <f aca="false">Raw_Data!H13</f>
        <v>Groww</v>
      </c>
      <c r="I13" s="4" t="str">
        <f aca="false">Raw_Data!I13</f>
        <v>Monthly</v>
      </c>
      <c r="J13" s="4" t="n">
        <f aca="false">Raw_Data!J13</f>
        <v>25253</v>
      </c>
      <c r="K13" s="4" t="str">
        <f aca="false">Raw_Data!K13</f>
        <v>Gifting</v>
      </c>
      <c r="L13" s="4" t="n">
        <f aca="false">Raw_Data!L13</f>
        <v>0</v>
      </c>
      <c r="M13" s="4" t="str">
        <f aca="false">Raw_Data!M13</f>
        <v>High</v>
      </c>
      <c r="N13" s="4" t="str">
        <f aca="false">Raw_Data!N13</f>
        <v>Mutual Funds</v>
      </c>
      <c r="O13" s="4" t="n">
        <f aca="false">Raw_Data!O13</f>
        <v>4</v>
      </c>
      <c r="P13" s="4" t="n">
        <f aca="false">Raw_Data!P13</f>
        <v>5</v>
      </c>
      <c r="Q13" s="4" t="str">
        <f aca="false">IF(OR(B13="",B13=0),"Unknown",IF(B13&lt;=25,"18-25",IF(B13&lt;=35,"26-35",IF(B13&lt;=45,"36-45","46+"))))</f>
        <v>36-45</v>
      </c>
      <c r="R13" s="4" t="n">
        <f aca="false">IF(F13="Below 20,000",10000,IF(F13="20,000-40,000",30000,IF(F13="40,000-60,000",50000,IF(F13="60,000-80,000",70000,IF(F13="Above 80,000",100000,0)))))</f>
        <v>100000</v>
      </c>
      <c r="S13" s="4" t="n">
        <f aca="false">IF(G13="Yes",1,0)</f>
        <v>1</v>
      </c>
    </row>
    <row r="14" customFormat="false" ht="15" hidden="false" customHeight="true" outlineLevel="0" collapsed="false">
      <c r="A14" s="3" t="str">
        <f aca="false">Raw_Data!A14</f>
        <v>R013</v>
      </c>
      <c r="B14" s="3" t="n">
        <f aca="false">Raw_Data!B14</f>
        <v>34</v>
      </c>
      <c r="C14" s="3" t="str">
        <f aca="false">Raw_Data!C14</f>
        <v>Female</v>
      </c>
      <c r="D14" s="3" t="str">
        <f aca="false">Raw_Data!D14</f>
        <v>Mumbai</v>
      </c>
      <c r="E14" s="3" t="str">
        <f aca="false">Raw_Data!E14</f>
        <v>Freelancer</v>
      </c>
      <c r="F14" s="3" t="str">
        <f aca="false">Raw_Data!F14</f>
        <v>Below 20,000</v>
      </c>
      <c r="G14" s="3" t="str">
        <f aca="false">Raw_Data!G14</f>
        <v>Yes</v>
      </c>
      <c r="H14" s="3" t="str">
        <f aca="false">Raw_Data!H14</f>
        <v>Paytm</v>
      </c>
      <c r="I14" s="3" t="str">
        <f aca="false">Raw_Data!I14</f>
        <v>Quarterly</v>
      </c>
      <c r="J14" s="3" t="n">
        <f aca="false">Raw_Data!J14</f>
        <v>414</v>
      </c>
      <c r="K14" s="3" t="str">
        <f aca="false">Raw_Data!K14</f>
        <v>Investment</v>
      </c>
      <c r="L14" s="3" t="n">
        <f aca="false">Raw_Data!L14</f>
        <v>5</v>
      </c>
      <c r="M14" s="3" t="str">
        <f aca="false">Raw_Data!M14</f>
        <v>Low</v>
      </c>
      <c r="N14" s="3" t="str">
        <f aca="false">Raw_Data!N14</f>
        <v>Mutual Funds</v>
      </c>
      <c r="O14" s="3" t="n">
        <f aca="false">Raw_Data!O14</f>
        <v>5</v>
      </c>
      <c r="P14" s="3" t="n">
        <f aca="false">Raw_Data!P14</f>
        <v>10</v>
      </c>
      <c r="Q14" s="3" t="str">
        <f aca="false">IF(OR(B14="",B14=0),"Unknown",IF(B14&lt;=25,"18-25",IF(B14&lt;=35,"26-35",IF(B14&lt;=45,"36-45","46+"))))</f>
        <v>26-35</v>
      </c>
      <c r="R14" s="3" t="n">
        <f aca="false">IF(F14="Below 20,000",10000,IF(F14="20,000-40,000",30000,IF(F14="40,000-60,000",50000,IF(F14="60,000-80,000",70000,IF(F14="Above 80,000",100000,0)))))</f>
        <v>10000</v>
      </c>
      <c r="S14" s="3" t="n">
        <f aca="false">IF(G14="Yes",1,0)</f>
        <v>1</v>
      </c>
    </row>
    <row r="15" customFormat="false" ht="15" hidden="false" customHeight="true" outlineLevel="0" collapsed="false">
      <c r="A15" s="4" t="str">
        <f aca="false">Raw_Data!A15</f>
        <v>R014</v>
      </c>
      <c r="B15" s="4" t="n">
        <f aca="false">Raw_Data!B15</f>
        <v>57</v>
      </c>
      <c r="C15" s="4" t="str">
        <f aca="false">Raw_Data!C15</f>
        <v>Female</v>
      </c>
      <c r="D15" s="4" t="str">
        <f aca="false">Raw_Data!D15</f>
        <v>Ahmedabad</v>
      </c>
      <c r="E15" s="4" t="str">
        <f aca="false">Raw_Data!E15</f>
        <v>Student</v>
      </c>
      <c r="F15" s="4" t="str">
        <f aca="false">Raw_Data!F15</f>
        <v>20,000-40,000</v>
      </c>
      <c r="G15" s="4" t="str">
        <f aca="false">Raw_Data!G15</f>
        <v>No</v>
      </c>
      <c r="H15" s="4" t="n">
        <f aca="false">Raw_Data!H15</f>
        <v>0</v>
      </c>
      <c r="I15" s="4" t="n">
        <f aca="false">Raw_Data!I15</f>
        <v>0</v>
      </c>
      <c r="J15" s="4" t="n">
        <f aca="false">Raw_Data!J15</f>
        <v>0</v>
      </c>
      <c r="K15" s="4" t="n">
        <f aca="false">Raw_Data!K15</f>
        <v>0</v>
      </c>
      <c r="L15" s="4" t="n">
        <f aca="false">Raw_Data!L15</f>
        <v>2</v>
      </c>
      <c r="M15" s="4" t="str">
        <f aca="false">Raw_Data!M15</f>
        <v>Low</v>
      </c>
      <c r="N15" s="4" t="str">
        <f aca="false">Raw_Data!N15</f>
        <v>Mutual Funds</v>
      </c>
      <c r="O15" s="4" t="n">
        <f aca="false">Raw_Data!O15</f>
        <v>1</v>
      </c>
      <c r="P15" s="4" t="n">
        <f aca="false">Raw_Data!P15</f>
        <v>5</v>
      </c>
      <c r="Q15" s="4" t="str">
        <f aca="false">IF(OR(B15="",B15=0),"Unknown",IF(B15&lt;=25,"18-25",IF(B15&lt;=35,"26-35",IF(B15&lt;=45,"36-45","46+"))))</f>
        <v>46+</v>
      </c>
      <c r="R15" s="4" t="n">
        <f aca="false">IF(F15="Below 20,000",10000,IF(F15="20,000-40,000",30000,IF(F15="40,000-60,000",50000,IF(F15="60,000-80,000",70000,IF(F15="Above 80,000",100000,0)))))</f>
        <v>30000</v>
      </c>
      <c r="S15" s="4" t="n">
        <f aca="false">IF(G15="Yes",1,0)</f>
        <v>0</v>
      </c>
    </row>
    <row r="16" customFormat="false" ht="15" hidden="false" customHeight="true" outlineLevel="0" collapsed="false">
      <c r="A16" s="3" t="str">
        <f aca="false">Raw_Data!A16</f>
        <v>R015</v>
      </c>
      <c r="B16" s="3" t="n">
        <f aca="false">Raw_Data!B16</f>
        <v>30</v>
      </c>
      <c r="C16" s="3" t="n">
        <f aca="false">Raw_Data!C16</f>
        <v>0</v>
      </c>
      <c r="D16" s="3" t="str">
        <f aca="false">Raw_Data!D16</f>
        <v>Ahmedabad</v>
      </c>
      <c r="E16" s="3" t="str">
        <f aca="false">Raw_Data!E16</f>
        <v>Government Employee</v>
      </c>
      <c r="F16" s="3" t="str">
        <f aca="false">Raw_Data!F16</f>
        <v>Above 80,000</v>
      </c>
      <c r="G16" s="3" t="str">
        <f aca="false">Raw_Data!G16</f>
        <v>Yes</v>
      </c>
      <c r="H16" s="3" t="str">
        <f aca="false">Raw_Data!H16</f>
        <v>Others</v>
      </c>
      <c r="I16" s="3" t="str">
        <f aca="false">Raw_Data!I16</f>
        <v>Quarterly</v>
      </c>
      <c r="J16" s="3" t="n">
        <f aca="false">Raw_Data!J16</f>
        <v>26493</v>
      </c>
      <c r="K16" s="3" t="str">
        <f aca="false">Raw_Data!K16</f>
        <v>Investment</v>
      </c>
      <c r="L16" s="3" t="n">
        <f aca="false">Raw_Data!L16</f>
        <v>1</v>
      </c>
      <c r="M16" s="3" t="str">
        <f aca="false">Raw_Data!M16</f>
        <v>Low</v>
      </c>
      <c r="N16" s="3" t="str">
        <f aca="false">Raw_Data!N16</f>
        <v>Mutual Funds</v>
      </c>
      <c r="O16" s="3" t="n">
        <f aca="false">Raw_Data!O16</f>
        <v>5</v>
      </c>
      <c r="P16" s="3" t="n">
        <f aca="false">Raw_Data!P16</f>
        <v>3</v>
      </c>
      <c r="Q16" s="3" t="str">
        <f aca="false">IF(OR(B16="",B16=0),"Unknown",IF(B16&lt;=25,"18-25",IF(B16&lt;=35,"26-35",IF(B16&lt;=45,"36-45","46+"))))</f>
        <v>26-35</v>
      </c>
      <c r="R16" s="3" t="n">
        <f aca="false">IF(F16="Below 20,000",10000,IF(F16="20,000-40,000",30000,IF(F16="40,000-60,000",50000,IF(F16="60,000-80,000",70000,IF(F16="Above 80,000",100000,0)))))</f>
        <v>100000</v>
      </c>
      <c r="S16" s="3" t="n">
        <f aca="false">IF(G16="Yes",1,0)</f>
        <v>1</v>
      </c>
    </row>
    <row r="17" customFormat="false" ht="15" hidden="false" customHeight="true" outlineLevel="0" collapsed="false">
      <c r="A17" s="4" t="str">
        <f aca="false">Raw_Data!A17</f>
        <v>R016</v>
      </c>
      <c r="B17" s="4" t="n">
        <f aca="false">Raw_Data!B17</f>
        <v>22</v>
      </c>
      <c r="C17" s="4" t="str">
        <f aca="false">Raw_Data!C17</f>
        <v>Male</v>
      </c>
      <c r="D17" s="4" t="str">
        <f aca="false">Raw_Data!D17</f>
        <v>Mumbai</v>
      </c>
      <c r="E17" s="4" t="str">
        <f aca="false">Raw_Data!E17</f>
        <v>Homemaker</v>
      </c>
      <c r="F17" s="4" t="str">
        <f aca="false">Raw_Data!F17</f>
        <v>Below 20,000</v>
      </c>
      <c r="G17" s="4" t="str">
        <f aca="false">Raw_Data!G17</f>
        <v>No</v>
      </c>
      <c r="H17" s="4" t="n">
        <f aca="false">Raw_Data!H17</f>
        <v>0</v>
      </c>
      <c r="I17" s="4" t="n">
        <f aca="false">Raw_Data!I17</f>
        <v>0</v>
      </c>
      <c r="J17" s="4" t="n">
        <f aca="false">Raw_Data!J17</f>
        <v>0</v>
      </c>
      <c r="K17" s="4" t="n">
        <f aca="false">Raw_Data!K17</f>
        <v>0</v>
      </c>
      <c r="L17" s="4" t="n">
        <f aca="false">Raw_Data!L17</f>
        <v>1</v>
      </c>
      <c r="M17" s="4" t="str">
        <f aca="false">Raw_Data!M17</f>
        <v>Medium</v>
      </c>
      <c r="N17" s="4" t="str">
        <f aca="false">Raw_Data!N17</f>
        <v>Digital Gold</v>
      </c>
      <c r="O17" s="4" t="n">
        <f aca="false">Raw_Data!O17</f>
        <v>3</v>
      </c>
      <c r="P17" s="4" t="n">
        <f aca="false">Raw_Data!P17</f>
        <v>3</v>
      </c>
      <c r="Q17" s="4" t="str">
        <f aca="false">IF(OR(B17="",B17=0),"Unknown",IF(B17&lt;=25,"18-25",IF(B17&lt;=35,"26-35",IF(B17&lt;=45,"36-45","46+"))))</f>
        <v>18-25</v>
      </c>
      <c r="R17" s="4" t="n">
        <f aca="false">IF(F17="Below 20,000",10000,IF(F17="20,000-40,000",30000,IF(F17="40,000-60,000",50000,IF(F17="60,000-80,000",70000,IF(F17="Above 80,000",100000,0)))))</f>
        <v>10000</v>
      </c>
      <c r="S17" s="4" t="n">
        <f aca="false">IF(G17="Yes",1,0)</f>
        <v>0</v>
      </c>
    </row>
    <row r="18" customFormat="false" ht="15" hidden="false" customHeight="true" outlineLevel="0" collapsed="false">
      <c r="A18" s="3" t="str">
        <f aca="false">Raw_Data!A18</f>
        <v>R017</v>
      </c>
      <c r="B18" s="3" t="n">
        <f aca="false">Raw_Data!B18</f>
        <v>44</v>
      </c>
      <c r="C18" s="3" t="str">
        <f aca="false">Raw_Data!C18</f>
        <v>Female</v>
      </c>
      <c r="D18" s="3" t="str">
        <f aca="false">Raw_Data!D18</f>
        <v>Mumbai</v>
      </c>
      <c r="E18" s="3" t="str">
        <f aca="false">Raw_Data!E18</f>
        <v>Business</v>
      </c>
      <c r="F18" s="3" t="str">
        <f aca="false">Raw_Data!F18</f>
        <v>Below 20,000</v>
      </c>
      <c r="G18" s="3" t="str">
        <f aca="false">Raw_Data!G18</f>
        <v>No</v>
      </c>
      <c r="H18" s="3" t="n">
        <f aca="false">Raw_Data!H18</f>
        <v>0</v>
      </c>
      <c r="I18" s="3" t="n">
        <f aca="false">Raw_Data!I18</f>
        <v>0</v>
      </c>
      <c r="J18" s="3" t="n">
        <f aca="false">Raw_Data!J18</f>
        <v>0</v>
      </c>
      <c r="K18" s="3" t="n">
        <f aca="false">Raw_Data!K18</f>
        <v>0</v>
      </c>
      <c r="L18" s="3" t="n">
        <f aca="false">Raw_Data!L18</f>
        <v>1</v>
      </c>
      <c r="M18" s="3" t="str">
        <f aca="false">Raw_Data!M18</f>
        <v>High</v>
      </c>
      <c r="N18" s="3" t="str">
        <f aca="false">Raw_Data!N18</f>
        <v>Digital Gold</v>
      </c>
      <c r="O18" s="3" t="n">
        <f aca="false">Raw_Data!O18</f>
        <v>5</v>
      </c>
      <c r="P18" s="3" t="n">
        <f aca="false">Raw_Data!P18</f>
        <v>1</v>
      </c>
      <c r="Q18" s="3" t="str">
        <f aca="false">IF(OR(B18="",B18=0),"Unknown",IF(B18&lt;=25,"18-25",IF(B18&lt;=35,"26-35",IF(B18&lt;=45,"36-45","46+"))))</f>
        <v>36-45</v>
      </c>
      <c r="R18" s="3" t="n">
        <f aca="false">IF(F18="Below 20,000",10000,IF(F18="20,000-40,000",30000,IF(F18="40,000-60,000",50000,IF(F18="60,000-80,000",70000,IF(F18="Above 80,000",100000,0)))))</f>
        <v>10000</v>
      </c>
      <c r="S18" s="3" t="n">
        <f aca="false">IF(G18="Yes",1,0)</f>
        <v>0</v>
      </c>
    </row>
    <row r="19" customFormat="false" ht="15" hidden="false" customHeight="true" outlineLevel="0" collapsed="false">
      <c r="A19" s="4" t="str">
        <f aca="false">Raw_Data!A19</f>
        <v>R018</v>
      </c>
      <c r="B19" s="4" t="n">
        <f aca="false">Raw_Data!B19</f>
        <v>22</v>
      </c>
      <c r="C19" s="4" t="str">
        <f aca="false">Raw_Data!C19</f>
        <v>Female</v>
      </c>
      <c r="D19" s="4" t="str">
        <f aca="false">Raw_Data!D19</f>
        <v>Mumbai</v>
      </c>
      <c r="E19" s="4" t="str">
        <f aca="false">Raw_Data!E19</f>
        <v>Salaried</v>
      </c>
      <c r="F19" s="4" t="str">
        <f aca="false">Raw_Data!F19</f>
        <v>Below 20,000</v>
      </c>
      <c r="G19" s="4" t="str">
        <f aca="false">Raw_Data!G19</f>
        <v>No</v>
      </c>
      <c r="H19" s="4" t="n">
        <f aca="false">Raw_Data!H19</f>
        <v>0</v>
      </c>
      <c r="I19" s="4" t="n">
        <f aca="false">Raw_Data!I19</f>
        <v>0</v>
      </c>
      <c r="J19" s="4" t="n">
        <f aca="false">Raw_Data!J19</f>
        <v>0</v>
      </c>
      <c r="K19" s="4" t="n">
        <f aca="false">Raw_Data!K19</f>
        <v>0</v>
      </c>
      <c r="L19" s="4" t="n">
        <f aca="false">Raw_Data!L19</f>
        <v>2</v>
      </c>
      <c r="M19" s="4" t="str">
        <f aca="false">Raw_Data!M19</f>
        <v>Low</v>
      </c>
      <c r="N19" s="4" t="str">
        <f aca="false">Raw_Data!N19</f>
        <v>Digital Gold</v>
      </c>
      <c r="O19" s="4" t="n">
        <f aca="false">Raw_Data!O19</f>
        <v>2</v>
      </c>
      <c r="P19" s="4" t="n">
        <f aca="false">Raw_Data!P19</f>
        <v>2</v>
      </c>
      <c r="Q19" s="4" t="str">
        <f aca="false">IF(OR(B19="",B19=0),"Unknown",IF(B19&lt;=25,"18-25",IF(B19&lt;=35,"26-35",IF(B19&lt;=45,"36-45","46+"))))</f>
        <v>18-25</v>
      </c>
      <c r="R19" s="4" t="n">
        <f aca="false">IF(F19="Below 20,000",10000,IF(F19="20,000-40,000",30000,IF(F19="40,000-60,000",50000,IF(F19="60,000-80,000",70000,IF(F19="Above 80,000",100000,0)))))</f>
        <v>10000</v>
      </c>
      <c r="S19" s="4" t="n">
        <f aca="false">IF(G19="Yes",1,0)</f>
        <v>0</v>
      </c>
    </row>
    <row r="20" customFormat="false" ht="15" hidden="false" customHeight="true" outlineLevel="0" collapsed="false">
      <c r="A20" s="3" t="str">
        <f aca="false">Raw_Data!A20</f>
        <v>R019</v>
      </c>
      <c r="B20" s="3" t="n">
        <f aca="false">Raw_Data!B20</f>
        <v>60</v>
      </c>
      <c r="C20" s="3" t="str">
        <f aca="false">Raw_Data!C20</f>
        <v>Female</v>
      </c>
      <c r="D20" s="3" t="str">
        <f aca="false">Raw_Data!D20</f>
        <v>Hyderabad</v>
      </c>
      <c r="E20" s="3" t="str">
        <f aca="false">Raw_Data!E20</f>
        <v>Homemaker</v>
      </c>
      <c r="F20" s="3" t="n">
        <f aca="false">Raw_Data!F20</f>
        <v>0</v>
      </c>
      <c r="G20" s="3" t="str">
        <f aca="false">Raw_Data!G20</f>
        <v>No</v>
      </c>
      <c r="H20" s="3" t="n">
        <f aca="false">Raw_Data!H20</f>
        <v>0</v>
      </c>
      <c r="I20" s="3" t="n">
        <f aca="false">Raw_Data!I20</f>
        <v>0</v>
      </c>
      <c r="J20" s="3" t="n">
        <f aca="false">Raw_Data!J20</f>
        <v>0</v>
      </c>
      <c r="K20" s="3" t="n">
        <f aca="false">Raw_Data!K20</f>
        <v>0</v>
      </c>
      <c r="L20" s="3" t="n">
        <f aca="false">Raw_Data!L20</f>
        <v>1</v>
      </c>
      <c r="M20" s="3" t="str">
        <f aca="false">Raw_Data!M20</f>
        <v>High</v>
      </c>
      <c r="N20" s="3" t="str">
        <f aca="false">Raw_Data!N20</f>
        <v>Fixed Deposit</v>
      </c>
      <c r="O20" s="3" t="n">
        <f aca="false">Raw_Data!O20</f>
        <v>3</v>
      </c>
      <c r="P20" s="3" t="n">
        <f aca="false">Raw_Data!P20</f>
        <v>1</v>
      </c>
      <c r="Q20" s="3" t="str">
        <f aca="false">IF(OR(B20="",B20=0),"Unknown",IF(B20&lt;=25,"18-25",IF(B20&lt;=35,"26-35",IF(B20&lt;=45,"36-45","46+"))))</f>
        <v>46+</v>
      </c>
      <c r="R20" s="3" t="n">
        <f aca="false">IF(F20="Below 20,000",10000,IF(F20="20,000-40,000",30000,IF(F20="40,000-60,000",50000,IF(F20="60,000-80,000",70000,IF(F20="Above 80,000",100000,0)))))</f>
        <v>0</v>
      </c>
      <c r="S20" s="3" t="n">
        <f aca="false">IF(G20="Yes",1,0)</f>
        <v>0</v>
      </c>
    </row>
    <row r="21" customFormat="false" ht="15" hidden="false" customHeight="true" outlineLevel="0" collapsed="false">
      <c r="A21" s="4" t="str">
        <f aca="false">Raw_Data!A21</f>
        <v>R020</v>
      </c>
      <c r="B21" s="4" t="n">
        <f aca="false">Raw_Data!B21</f>
        <v>37</v>
      </c>
      <c r="C21" s="4" t="str">
        <f aca="false">Raw_Data!C21</f>
        <v>Male</v>
      </c>
      <c r="D21" s="4" t="str">
        <f aca="false">Raw_Data!D21</f>
        <v>Chennai</v>
      </c>
      <c r="E21" s="4" t="str">
        <f aca="false">Raw_Data!E21</f>
        <v>Freelancer</v>
      </c>
      <c r="F21" s="4" t="str">
        <f aca="false">Raw_Data!F21</f>
        <v>Below 20,000</v>
      </c>
      <c r="G21" s="4" t="str">
        <f aca="false">Raw_Data!G21</f>
        <v>Yes</v>
      </c>
      <c r="H21" s="4" t="str">
        <f aca="false">Raw_Data!H21</f>
        <v>PhonePe</v>
      </c>
      <c r="I21" s="4" t="str">
        <f aca="false">Raw_Data!I21</f>
        <v>Monthly</v>
      </c>
      <c r="J21" s="4" t="n">
        <f aca="false">Raw_Data!J21</f>
        <v>879</v>
      </c>
      <c r="K21" s="4" t="str">
        <f aca="false">Raw_Data!K21</f>
        <v>Savings</v>
      </c>
      <c r="L21" s="4" t="n">
        <f aca="false">Raw_Data!L21</f>
        <v>2</v>
      </c>
      <c r="M21" s="4" t="str">
        <f aca="false">Raw_Data!M21</f>
        <v>Low</v>
      </c>
      <c r="N21" s="4" t="str">
        <f aca="false">Raw_Data!N21</f>
        <v>Fixed Deposit</v>
      </c>
      <c r="O21" s="4" t="n">
        <f aca="false">Raw_Data!O21</f>
        <v>2</v>
      </c>
      <c r="P21" s="4" t="n">
        <f aca="false">Raw_Data!P21</f>
        <v>8</v>
      </c>
      <c r="Q21" s="4" t="str">
        <f aca="false">IF(OR(B21="",B21=0),"Unknown",IF(B21&lt;=25,"18-25",IF(B21&lt;=35,"26-35",IF(B21&lt;=45,"36-45","46+"))))</f>
        <v>36-45</v>
      </c>
      <c r="R21" s="4" t="n">
        <f aca="false">IF(F21="Below 20,000",10000,IF(F21="20,000-40,000",30000,IF(F21="40,000-60,000",50000,IF(F21="60,000-80,000",70000,IF(F21="Above 80,000",100000,0)))))</f>
        <v>10000</v>
      </c>
      <c r="S21" s="4" t="n">
        <f aca="false">IF(G21="Yes",1,0)</f>
        <v>1</v>
      </c>
    </row>
    <row r="22" customFormat="false" ht="15" hidden="false" customHeight="true" outlineLevel="0" collapsed="false">
      <c r="A22" s="3" t="str">
        <f aca="false">Raw_Data!A22</f>
        <v>R021</v>
      </c>
      <c r="B22" s="3" t="n">
        <f aca="false">Raw_Data!B22</f>
        <v>57</v>
      </c>
      <c r="C22" s="3" t="str">
        <f aca="false">Raw_Data!C22</f>
        <v>Female</v>
      </c>
      <c r="D22" s="3" t="str">
        <f aca="false">Raw_Data!D22</f>
        <v>Delhi</v>
      </c>
      <c r="E22" s="3" t="str">
        <f aca="false">Raw_Data!E22</f>
        <v>Government Employee</v>
      </c>
      <c r="F22" s="3" t="str">
        <f aca="false">Raw_Data!F22</f>
        <v>40,000-60,000</v>
      </c>
      <c r="G22" s="3" t="str">
        <f aca="false">Raw_Data!G22</f>
        <v>No</v>
      </c>
      <c r="H22" s="3" t="n">
        <f aca="false">Raw_Data!H22</f>
        <v>0</v>
      </c>
      <c r="I22" s="3" t="n">
        <f aca="false">Raw_Data!I22</f>
        <v>0</v>
      </c>
      <c r="J22" s="3" t="n">
        <f aca="false">Raw_Data!J22</f>
        <v>0</v>
      </c>
      <c r="K22" s="3" t="n">
        <f aca="false">Raw_Data!K22</f>
        <v>0</v>
      </c>
      <c r="L22" s="3" t="n">
        <f aca="false">Raw_Data!L22</f>
        <v>3</v>
      </c>
      <c r="M22" s="3" t="str">
        <f aca="false">Raw_Data!M22</f>
        <v>Low</v>
      </c>
      <c r="N22" s="3" t="str">
        <f aca="false">Raw_Data!N22</f>
        <v>Digital Gold</v>
      </c>
      <c r="O22" s="3" t="n">
        <f aca="false">Raw_Data!O22</f>
        <v>3</v>
      </c>
      <c r="P22" s="3" t="n">
        <f aca="false">Raw_Data!P22</f>
        <v>3</v>
      </c>
      <c r="Q22" s="3" t="str">
        <f aca="false">IF(OR(B22="",B22=0),"Unknown",IF(B22&lt;=25,"18-25",IF(B22&lt;=35,"26-35",IF(B22&lt;=45,"36-45","46+"))))</f>
        <v>46+</v>
      </c>
      <c r="R22" s="3" t="n">
        <f aca="false">IF(F22="Below 20,000",10000,IF(F22="20,000-40,000",30000,IF(F22="40,000-60,000",50000,IF(F22="60,000-80,000",70000,IF(F22="Above 80,000",100000,0)))))</f>
        <v>50000</v>
      </c>
      <c r="S22" s="3" t="n">
        <f aca="false">IF(G22="Yes",1,0)</f>
        <v>0</v>
      </c>
    </row>
    <row r="23" customFormat="false" ht="15" hidden="false" customHeight="true" outlineLevel="0" collapsed="false">
      <c r="A23" s="4" t="str">
        <f aca="false">Raw_Data!A23</f>
        <v>R022</v>
      </c>
      <c r="B23" s="4" t="n">
        <f aca="false">Raw_Data!B23</f>
        <v>26</v>
      </c>
      <c r="C23" s="4" t="str">
        <f aca="false">Raw_Data!C23</f>
        <v>Male</v>
      </c>
      <c r="D23" s="4" t="str">
        <f aca="false">Raw_Data!D23</f>
        <v>Chennai</v>
      </c>
      <c r="E23" s="4" t="str">
        <f aca="false">Raw_Data!E23</f>
        <v>Student</v>
      </c>
      <c r="F23" s="4" t="str">
        <f aca="false">Raw_Data!F23</f>
        <v>60,000-80,000</v>
      </c>
      <c r="G23" s="4" t="str">
        <f aca="false">Raw_Data!G23</f>
        <v>No</v>
      </c>
      <c r="H23" s="4" t="n">
        <f aca="false">Raw_Data!H23</f>
        <v>0</v>
      </c>
      <c r="I23" s="4" t="n">
        <f aca="false">Raw_Data!I23</f>
        <v>0</v>
      </c>
      <c r="J23" s="4" t="n">
        <f aca="false">Raw_Data!J23</f>
        <v>0</v>
      </c>
      <c r="K23" s="4" t="n">
        <f aca="false">Raw_Data!K23</f>
        <v>0</v>
      </c>
      <c r="L23" s="4" t="n">
        <f aca="false">Raw_Data!L23</f>
        <v>1</v>
      </c>
      <c r="M23" s="4" t="str">
        <f aca="false">Raw_Data!M23</f>
        <v>Medium</v>
      </c>
      <c r="N23" s="4" t="str">
        <f aca="false">Raw_Data!N23</f>
        <v>Fixed Deposit</v>
      </c>
      <c r="O23" s="4" t="n">
        <f aca="false">Raw_Data!O23</f>
        <v>1</v>
      </c>
      <c r="P23" s="4" t="n">
        <f aca="false">Raw_Data!P23</f>
        <v>2</v>
      </c>
      <c r="Q23" s="4" t="str">
        <f aca="false">IF(OR(B23="",B23=0),"Unknown",IF(B23&lt;=25,"18-25",IF(B23&lt;=35,"26-35",IF(B23&lt;=45,"36-45","46+"))))</f>
        <v>26-35</v>
      </c>
      <c r="R23" s="4" t="n">
        <f aca="false">IF(F23="Below 20,000",10000,IF(F23="20,000-40,000",30000,IF(F23="40,000-60,000",50000,IF(F23="60,000-80,000",70000,IF(F23="Above 80,000",100000,0)))))</f>
        <v>70000</v>
      </c>
      <c r="S23" s="4" t="n">
        <f aca="false">IF(G23="Yes",1,0)</f>
        <v>0</v>
      </c>
    </row>
    <row r="24" customFormat="false" ht="15" hidden="false" customHeight="true" outlineLevel="0" collapsed="false">
      <c r="A24" s="3" t="str">
        <f aca="false">Raw_Data!A24</f>
        <v>R023</v>
      </c>
      <c r="B24" s="3" t="n">
        <f aca="false">Raw_Data!B24</f>
        <v>44</v>
      </c>
      <c r="C24" s="3" t="str">
        <f aca="false">Raw_Data!C24</f>
        <v>Female</v>
      </c>
      <c r="D24" s="3" t="str">
        <f aca="false">Raw_Data!D24</f>
        <v>Delhi</v>
      </c>
      <c r="E24" s="3" t="str">
        <f aca="false">Raw_Data!E24</f>
        <v>Freelancer</v>
      </c>
      <c r="F24" s="3" t="str">
        <f aca="false">Raw_Data!F24</f>
        <v>Above 80,000</v>
      </c>
      <c r="G24" s="3" t="str">
        <f aca="false">Raw_Data!G24</f>
        <v>Yes</v>
      </c>
      <c r="H24" s="3" t="str">
        <f aca="false">Raw_Data!H24</f>
        <v>PhonePe</v>
      </c>
      <c r="I24" s="3" t="str">
        <f aca="false">Raw_Data!I24</f>
        <v>Daily</v>
      </c>
      <c r="J24" s="3" t="n">
        <f aca="false">Raw_Data!J24</f>
        <v>20744</v>
      </c>
      <c r="K24" s="3" t="str">
        <f aca="false">Raw_Data!K24</f>
        <v>Investment</v>
      </c>
      <c r="L24" s="3" t="n">
        <f aca="false">Raw_Data!L24</f>
        <v>5</v>
      </c>
      <c r="M24" s="3" t="str">
        <f aca="false">Raw_Data!M24</f>
        <v>Medium</v>
      </c>
      <c r="N24" s="3" t="str">
        <f aca="false">Raw_Data!N24</f>
        <v>Physical Gold</v>
      </c>
      <c r="O24" s="3" t="n">
        <f aca="false">Raw_Data!O24</f>
        <v>5</v>
      </c>
      <c r="P24" s="3" t="n">
        <f aca="false">Raw_Data!P24</f>
        <v>10</v>
      </c>
      <c r="Q24" s="3" t="str">
        <f aca="false">IF(OR(B24="",B24=0),"Unknown",IF(B24&lt;=25,"18-25",IF(B24&lt;=35,"26-35",IF(B24&lt;=45,"36-45","46+"))))</f>
        <v>36-45</v>
      </c>
      <c r="R24" s="3" t="n">
        <f aca="false">IF(F24="Below 20,000",10000,IF(F24="20,000-40,000",30000,IF(F24="40,000-60,000",50000,IF(F24="60,000-80,000",70000,IF(F24="Above 80,000",100000,0)))))</f>
        <v>100000</v>
      </c>
      <c r="S24" s="3" t="n">
        <f aca="false">IF(G24="Yes",1,0)</f>
        <v>1</v>
      </c>
    </row>
    <row r="25" customFormat="false" ht="15" hidden="false" customHeight="true" outlineLevel="0" collapsed="false">
      <c r="A25" s="4" t="str">
        <f aca="false">Raw_Data!A25</f>
        <v>R024</v>
      </c>
      <c r="B25" s="4" t="n">
        <f aca="false">Raw_Data!B25</f>
        <v>44</v>
      </c>
      <c r="C25" s="4" t="str">
        <f aca="false">Raw_Data!C25</f>
        <v>Male</v>
      </c>
      <c r="D25" s="4" t="str">
        <f aca="false">Raw_Data!D25</f>
        <v>Ahmedabad</v>
      </c>
      <c r="E25" s="4" t="str">
        <f aca="false">Raw_Data!E25</f>
        <v>Salaried</v>
      </c>
      <c r="F25" s="4" t="str">
        <f aca="false">Raw_Data!F25</f>
        <v>40,000-60,000</v>
      </c>
      <c r="G25" s="4" t="str">
        <f aca="false">Raw_Data!G25</f>
        <v>No</v>
      </c>
      <c r="H25" s="4" t="n">
        <f aca="false">Raw_Data!H25</f>
        <v>0</v>
      </c>
      <c r="I25" s="4" t="n">
        <f aca="false">Raw_Data!I25</f>
        <v>0</v>
      </c>
      <c r="J25" s="4" t="n">
        <f aca="false">Raw_Data!J25</f>
        <v>0</v>
      </c>
      <c r="K25" s="4" t="n">
        <f aca="false">Raw_Data!K25</f>
        <v>0</v>
      </c>
      <c r="L25" s="4" t="n">
        <f aca="false">Raw_Data!L25</f>
        <v>1</v>
      </c>
      <c r="M25" s="4" t="str">
        <f aca="false">Raw_Data!M25</f>
        <v>Low</v>
      </c>
      <c r="N25" s="4" t="str">
        <f aca="false">Raw_Data!N25</f>
        <v>Digital Gold</v>
      </c>
      <c r="O25" s="4" t="n">
        <f aca="false">Raw_Data!O25</f>
        <v>3</v>
      </c>
      <c r="P25" s="4" t="n">
        <f aca="false">Raw_Data!P25</f>
        <v>4</v>
      </c>
      <c r="Q25" s="4" t="str">
        <f aca="false">IF(OR(B25="",B25=0),"Unknown",IF(B25&lt;=25,"18-25",IF(B25&lt;=35,"26-35",IF(B25&lt;=45,"36-45","46+"))))</f>
        <v>36-45</v>
      </c>
      <c r="R25" s="4" t="n">
        <f aca="false">IF(F25="Below 20,000",10000,IF(F25="20,000-40,000",30000,IF(F25="40,000-60,000",50000,IF(F25="60,000-80,000",70000,IF(F25="Above 80,000",100000,0)))))</f>
        <v>50000</v>
      </c>
      <c r="S25" s="4" t="n">
        <f aca="false">IF(G25="Yes",1,0)</f>
        <v>0</v>
      </c>
    </row>
    <row r="26" customFormat="false" ht="15" hidden="false" customHeight="true" outlineLevel="0" collapsed="false">
      <c r="A26" s="3" t="str">
        <f aca="false">Raw_Data!A26</f>
        <v>R025</v>
      </c>
      <c r="B26" s="3" t="n">
        <f aca="false">Raw_Data!B26</f>
        <v>37</v>
      </c>
      <c r="C26" s="3" t="str">
        <f aca="false">Raw_Data!C26</f>
        <v>Male</v>
      </c>
      <c r="D26" s="3" t="str">
        <f aca="false">Raw_Data!D26</f>
        <v>Lucknow</v>
      </c>
      <c r="E26" s="3" t="str">
        <f aca="false">Raw_Data!E26</f>
        <v>Student</v>
      </c>
      <c r="F26" s="3" t="n">
        <f aca="false">Raw_Data!F26</f>
        <v>0</v>
      </c>
      <c r="G26" s="3" t="str">
        <f aca="false">Raw_Data!G26</f>
        <v>Yes</v>
      </c>
      <c r="H26" s="3" t="str">
        <f aca="false">Raw_Data!H26</f>
        <v>Groww</v>
      </c>
      <c r="I26" s="3" t="str">
        <f aca="false">Raw_Data!I26</f>
        <v>Quarterly</v>
      </c>
      <c r="J26" s="3" t="n">
        <f aca="false">Raw_Data!J26</f>
        <v>29429</v>
      </c>
      <c r="K26" s="3" t="str">
        <f aca="false">Raw_Data!K26</f>
        <v>Savings</v>
      </c>
      <c r="L26" s="3" t="n">
        <f aca="false">Raw_Data!L26</f>
        <v>1</v>
      </c>
      <c r="M26" s="3" t="str">
        <f aca="false">Raw_Data!M26</f>
        <v>High</v>
      </c>
      <c r="N26" s="3" t="str">
        <f aca="false">Raw_Data!N26</f>
        <v>Digital Gold</v>
      </c>
      <c r="O26" s="3" t="n">
        <f aca="false">Raw_Data!O26</f>
        <v>2</v>
      </c>
      <c r="P26" s="3" t="n">
        <f aca="false">Raw_Data!P26</f>
        <v>2</v>
      </c>
      <c r="Q26" s="3" t="str">
        <f aca="false">IF(OR(B26="",B26=0),"Unknown",IF(B26&lt;=25,"18-25",IF(B26&lt;=35,"26-35",IF(B26&lt;=45,"36-45","46+"))))</f>
        <v>36-45</v>
      </c>
      <c r="R26" s="3" t="n">
        <f aca="false">IF(F26="Below 20,000",10000,IF(F26="20,000-40,000",30000,IF(F26="40,000-60,000",50000,IF(F26="60,000-80,000",70000,IF(F26="Above 80,000",100000,0)))))</f>
        <v>0</v>
      </c>
      <c r="S26" s="3" t="n">
        <f aca="false">IF(G26="Yes",1,0)</f>
        <v>1</v>
      </c>
    </row>
    <row r="27" customFormat="false" ht="15" hidden="false" customHeight="true" outlineLevel="0" collapsed="false">
      <c r="A27" s="4" t="str">
        <f aca="false">Raw_Data!A27</f>
        <v>R026</v>
      </c>
      <c r="B27" s="4" t="n">
        <f aca="false">Raw_Data!B27</f>
        <v>27</v>
      </c>
      <c r="C27" s="4" t="str">
        <f aca="false">Raw_Data!C27</f>
        <v>Female</v>
      </c>
      <c r="D27" s="4" t="str">
        <f aca="false">Raw_Data!D27</f>
        <v>Jaipur</v>
      </c>
      <c r="E27" s="4" t="str">
        <f aca="false">Raw_Data!E27</f>
        <v>Government Employee</v>
      </c>
      <c r="F27" s="4" t="str">
        <f aca="false">Raw_Data!F27</f>
        <v>Below 20,000</v>
      </c>
      <c r="G27" s="4" t="str">
        <f aca="false">Raw_Data!G27</f>
        <v>Yes</v>
      </c>
      <c r="H27" s="4" t="str">
        <f aca="false">Raw_Data!H27</f>
        <v>PhonePe</v>
      </c>
      <c r="I27" s="4" t="str">
        <f aca="false">Raw_Data!I27</f>
        <v>Quarterly</v>
      </c>
      <c r="J27" s="4" t="n">
        <f aca="false">Raw_Data!J27</f>
        <v>775</v>
      </c>
      <c r="K27" s="4" t="str">
        <f aca="false">Raw_Data!K27</f>
        <v>Investment</v>
      </c>
      <c r="L27" s="4" t="n">
        <f aca="false">Raw_Data!L27</f>
        <v>3</v>
      </c>
      <c r="M27" s="4" t="str">
        <f aca="false">Raw_Data!M27</f>
        <v>Medium</v>
      </c>
      <c r="N27" s="4" t="str">
        <f aca="false">Raw_Data!N27</f>
        <v>Physical Gold</v>
      </c>
      <c r="O27" s="4" t="n">
        <f aca="false">Raw_Data!O27</f>
        <v>1</v>
      </c>
      <c r="P27" s="4" t="n">
        <f aca="false">Raw_Data!P27</f>
        <v>7</v>
      </c>
      <c r="Q27" s="4" t="str">
        <f aca="false">IF(OR(B27="",B27=0),"Unknown",IF(B27&lt;=25,"18-25",IF(B27&lt;=35,"26-35",IF(B27&lt;=45,"36-45","46+"))))</f>
        <v>26-35</v>
      </c>
      <c r="R27" s="4" t="n">
        <f aca="false">IF(F27="Below 20,000",10000,IF(F27="20,000-40,000",30000,IF(F27="40,000-60,000",50000,IF(F27="60,000-80,000",70000,IF(F27="Above 80,000",100000,0)))))</f>
        <v>10000</v>
      </c>
      <c r="S27" s="4" t="n">
        <f aca="false">IF(G27="Yes",1,0)</f>
        <v>1</v>
      </c>
    </row>
    <row r="28" customFormat="false" ht="15" hidden="false" customHeight="true" outlineLevel="0" collapsed="false">
      <c r="A28" s="3" t="str">
        <f aca="false">Raw_Data!A28</f>
        <v>R027</v>
      </c>
      <c r="B28" s="3" t="n">
        <f aca="false">Raw_Data!B28</f>
        <v>51</v>
      </c>
      <c r="C28" s="3" t="str">
        <f aca="false">Raw_Data!C28</f>
        <v>Male</v>
      </c>
      <c r="D28" s="3" t="str">
        <f aca="false">Raw_Data!D28</f>
        <v>Chennai</v>
      </c>
      <c r="E28" s="3" t="str">
        <f aca="false">Raw_Data!E28</f>
        <v>Government Employee</v>
      </c>
      <c r="F28" s="3" t="str">
        <f aca="false">Raw_Data!F28</f>
        <v>20,000-40,000</v>
      </c>
      <c r="G28" s="3" t="str">
        <f aca="false">Raw_Data!G28</f>
        <v>Yes</v>
      </c>
      <c r="H28" s="3" t="str">
        <f aca="false">Raw_Data!H28</f>
        <v>MMTC-PAMP</v>
      </c>
      <c r="I28" s="3" t="str">
        <f aca="false">Raw_Data!I28</f>
        <v>Quarterly</v>
      </c>
      <c r="J28" s="3" t="n">
        <f aca="false">Raw_Data!J28</f>
        <v>2902</v>
      </c>
      <c r="K28" s="3" t="str">
        <f aca="false">Raw_Data!K28</f>
        <v>Investment</v>
      </c>
      <c r="L28" s="3" t="n">
        <f aca="false">Raw_Data!L28</f>
        <v>3</v>
      </c>
      <c r="M28" s="3" t="str">
        <f aca="false">Raw_Data!M28</f>
        <v>Low</v>
      </c>
      <c r="N28" s="3" t="str">
        <f aca="false">Raw_Data!N28</f>
        <v>Fixed Deposit</v>
      </c>
      <c r="O28" s="3" t="n">
        <f aca="false">Raw_Data!O28</f>
        <v>5</v>
      </c>
      <c r="P28" s="3" t="n">
        <f aca="false">Raw_Data!P28</f>
        <v>6</v>
      </c>
      <c r="Q28" s="3" t="str">
        <f aca="false">IF(OR(B28="",B28=0),"Unknown",IF(B28&lt;=25,"18-25",IF(B28&lt;=35,"26-35",IF(B28&lt;=45,"36-45","46+"))))</f>
        <v>46+</v>
      </c>
      <c r="R28" s="3" t="n">
        <f aca="false">IF(F28="Below 20,000",10000,IF(F28="20,000-40,000",30000,IF(F28="40,000-60,000",50000,IF(F28="60,000-80,000",70000,IF(F28="Above 80,000",100000,0)))))</f>
        <v>30000</v>
      </c>
      <c r="S28" s="3" t="n">
        <f aca="false">IF(G28="Yes",1,0)</f>
        <v>1</v>
      </c>
    </row>
    <row r="29" customFormat="false" ht="15" hidden="false" customHeight="true" outlineLevel="0" collapsed="false">
      <c r="A29" s="4" t="str">
        <f aca="false">Raw_Data!A29</f>
        <v>R028</v>
      </c>
      <c r="B29" s="4" t="n">
        <f aca="false">Raw_Data!B29</f>
        <v>44</v>
      </c>
      <c r="C29" s="4" t="str">
        <f aca="false">Raw_Data!C29</f>
        <v>Male</v>
      </c>
      <c r="D29" s="4" t="str">
        <f aca="false">Raw_Data!D29</f>
        <v>Lucknow</v>
      </c>
      <c r="E29" s="4" t="str">
        <f aca="false">Raw_Data!E29</f>
        <v>Freelancer</v>
      </c>
      <c r="F29" s="4" t="str">
        <f aca="false">Raw_Data!F29</f>
        <v>Above 80,000</v>
      </c>
      <c r="G29" s="4" t="str">
        <f aca="false">Raw_Data!G29</f>
        <v>Yes</v>
      </c>
      <c r="H29" s="4" t="str">
        <f aca="false">Raw_Data!H29</f>
        <v>MMTC-PAMP</v>
      </c>
      <c r="I29" s="4" t="str">
        <f aca="false">Raw_Data!I29</f>
        <v>Daily</v>
      </c>
      <c r="J29" s="4" t="n">
        <f aca="false">Raw_Data!J29</f>
        <v>25559</v>
      </c>
      <c r="K29" s="4" t="str">
        <f aca="false">Raw_Data!K29</f>
        <v>Investment</v>
      </c>
      <c r="L29" s="4" t="n">
        <f aca="false">Raw_Data!L29</f>
        <v>3</v>
      </c>
      <c r="M29" s="4" t="str">
        <f aca="false">Raw_Data!M29</f>
        <v>High</v>
      </c>
      <c r="N29" s="4" t="str">
        <f aca="false">Raw_Data!N29</f>
        <v>Digital Gold</v>
      </c>
      <c r="O29" s="4" t="n">
        <f aca="false">Raw_Data!O29</f>
        <v>5</v>
      </c>
      <c r="P29" s="4" t="n">
        <f aca="false">Raw_Data!P29</f>
        <v>4</v>
      </c>
      <c r="Q29" s="4" t="str">
        <f aca="false">IF(OR(B29="",B29=0),"Unknown",IF(B29&lt;=25,"18-25",IF(B29&lt;=35,"26-35",IF(B29&lt;=45,"36-45","46+"))))</f>
        <v>36-45</v>
      </c>
      <c r="R29" s="4" t="n">
        <f aca="false">IF(F29="Below 20,000",10000,IF(F29="20,000-40,000",30000,IF(F29="40,000-60,000",50000,IF(F29="60,000-80,000",70000,IF(F29="Above 80,000",100000,0)))))</f>
        <v>100000</v>
      </c>
      <c r="S29" s="4" t="n">
        <f aca="false">IF(G29="Yes",1,0)</f>
        <v>1</v>
      </c>
    </row>
    <row r="30" customFormat="false" ht="15" hidden="false" customHeight="true" outlineLevel="0" collapsed="false">
      <c r="A30" s="3" t="str">
        <f aca="false">Raw_Data!A30</f>
        <v>R029</v>
      </c>
      <c r="B30" s="3" t="n">
        <f aca="false">Raw_Data!B30</f>
        <v>45</v>
      </c>
      <c r="C30" s="3" t="str">
        <f aca="false">Raw_Data!C30</f>
        <v>Female</v>
      </c>
      <c r="D30" s="3" t="str">
        <f aca="false">Raw_Data!D30</f>
        <v>Chennai</v>
      </c>
      <c r="E30" s="3" t="str">
        <f aca="false">Raw_Data!E30</f>
        <v>Student</v>
      </c>
      <c r="F30" s="3" t="str">
        <f aca="false">Raw_Data!F30</f>
        <v>Above 80,000</v>
      </c>
      <c r="G30" s="3" t="str">
        <f aca="false">Raw_Data!G30</f>
        <v>Yes</v>
      </c>
      <c r="H30" s="3" t="str">
        <f aca="false">Raw_Data!H30</f>
        <v>MMTC-PAMP</v>
      </c>
      <c r="I30" s="3" t="str">
        <f aca="false">Raw_Data!I30</f>
        <v>Quarterly</v>
      </c>
      <c r="J30" s="3" t="n">
        <f aca="false">Raw_Data!J30</f>
        <v>15486</v>
      </c>
      <c r="K30" s="3" t="str">
        <f aca="false">Raw_Data!K30</f>
        <v>Investment</v>
      </c>
      <c r="L30" s="3" t="n">
        <f aca="false">Raw_Data!L30</f>
        <v>4</v>
      </c>
      <c r="M30" s="3" t="str">
        <f aca="false">Raw_Data!M30</f>
        <v>Low</v>
      </c>
      <c r="N30" s="3" t="str">
        <f aca="false">Raw_Data!N30</f>
        <v>Mutual Funds</v>
      </c>
      <c r="O30" s="3" t="n">
        <f aca="false">Raw_Data!O30</f>
        <v>2</v>
      </c>
      <c r="P30" s="3" t="n">
        <f aca="false">Raw_Data!P30</f>
        <v>10</v>
      </c>
      <c r="Q30" s="3" t="str">
        <f aca="false">IF(OR(B30="",B30=0),"Unknown",IF(B30&lt;=25,"18-25",IF(B30&lt;=35,"26-35",IF(B30&lt;=45,"36-45","46+"))))</f>
        <v>36-45</v>
      </c>
      <c r="R30" s="3" t="n">
        <f aca="false">IF(F30="Below 20,000",10000,IF(F30="20,000-40,000",30000,IF(F30="40,000-60,000",50000,IF(F30="60,000-80,000",70000,IF(F30="Above 80,000",100000,0)))))</f>
        <v>100000</v>
      </c>
      <c r="S30" s="3" t="n">
        <f aca="false">IF(G30="Yes",1,0)</f>
        <v>1</v>
      </c>
    </row>
    <row r="31" customFormat="false" ht="15" hidden="false" customHeight="true" outlineLevel="0" collapsed="false">
      <c r="A31" s="4" t="str">
        <f aca="false">Raw_Data!A31</f>
        <v>R030</v>
      </c>
      <c r="B31" s="4" t="n">
        <f aca="false">Raw_Data!B31</f>
        <v>34</v>
      </c>
      <c r="C31" s="4" t="str">
        <f aca="false">Raw_Data!C31</f>
        <v>Female</v>
      </c>
      <c r="D31" s="4" t="str">
        <f aca="false">Raw_Data!D31</f>
        <v>Kolkata</v>
      </c>
      <c r="E31" s="4" t="str">
        <f aca="false">Raw_Data!E31</f>
        <v>Government Employee</v>
      </c>
      <c r="F31" s="4" t="str">
        <f aca="false">Raw_Data!F31</f>
        <v>20,000-40,000</v>
      </c>
      <c r="G31" s="4" t="str">
        <f aca="false">Raw_Data!G31</f>
        <v>Yes</v>
      </c>
      <c r="H31" s="4" t="str">
        <f aca="false">Raw_Data!H31</f>
        <v>Paytm</v>
      </c>
      <c r="I31" s="4" t="str">
        <f aca="false">Raw_Data!I31</f>
        <v>Monthly</v>
      </c>
      <c r="J31" s="4" t="n">
        <f aca="false">Raw_Data!J31</f>
        <v>2680</v>
      </c>
      <c r="K31" s="4" t="str">
        <f aca="false">Raw_Data!K31</f>
        <v>Savings</v>
      </c>
      <c r="L31" s="4" t="n">
        <f aca="false">Raw_Data!L31</f>
        <v>3</v>
      </c>
      <c r="M31" s="4" t="str">
        <f aca="false">Raw_Data!M31</f>
        <v>Medium</v>
      </c>
      <c r="N31" s="4" t="str">
        <f aca="false">Raw_Data!N31</f>
        <v>Physical Gold</v>
      </c>
      <c r="O31" s="4" t="n">
        <f aca="false">Raw_Data!O31</f>
        <v>4</v>
      </c>
      <c r="P31" s="4" t="n">
        <f aca="false">Raw_Data!P31</f>
        <v>7</v>
      </c>
      <c r="Q31" s="4" t="str">
        <f aca="false">IF(OR(B31="",B31=0),"Unknown",IF(B31&lt;=25,"18-25",IF(B31&lt;=35,"26-35",IF(B31&lt;=45,"36-45","46+"))))</f>
        <v>26-35</v>
      </c>
      <c r="R31" s="4" t="n">
        <f aca="false">IF(F31="Below 20,000",10000,IF(F31="20,000-40,000",30000,IF(F31="40,000-60,000",50000,IF(F31="60,000-80,000",70000,IF(F31="Above 80,000",100000,0)))))</f>
        <v>30000</v>
      </c>
      <c r="S31" s="4" t="n">
        <f aca="false">IF(G31="Yes",1,0)</f>
        <v>1</v>
      </c>
    </row>
    <row r="32" customFormat="false" ht="15" hidden="false" customHeight="true" outlineLevel="0" collapsed="false">
      <c r="A32" s="3" t="str">
        <f aca="false">Raw_Data!A32</f>
        <v>R031</v>
      </c>
      <c r="B32" s="3" t="n">
        <f aca="false">Raw_Data!B32</f>
        <v>32</v>
      </c>
      <c r="C32" s="3" t="str">
        <f aca="false">Raw_Data!C32</f>
        <v>Male</v>
      </c>
      <c r="D32" s="3" t="str">
        <f aca="false">Raw_Data!D32</f>
        <v>Hyderabad</v>
      </c>
      <c r="E32" s="3" t="str">
        <f aca="false">Raw_Data!E32</f>
        <v>Salaried</v>
      </c>
      <c r="F32" s="3" t="str">
        <f aca="false">Raw_Data!F32</f>
        <v>40,000-60,000</v>
      </c>
      <c r="G32" s="3" t="str">
        <f aca="false">Raw_Data!G32</f>
        <v>No</v>
      </c>
      <c r="H32" s="3" t="n">
        <f aca="false">Raw_Data!H32</f>
        <v>0</v>
      </c>
      <c r="I32" s="3" t="n">
        <f aca="false">Raw_Data!I32</f>
        <v>0</v>
      </c>
      <c r="J32" s="3" t="n">
        <f aca="false">Raw_Data!J32</f>
        <v>0</v>
      </c>
      <c r="K32" s="3" t="n">
        <f aca="false">Raw_Data!K32</f>
        <v>0</v>
      </c>
      <c r="L32" s="3" t="n">
        <f aca="false">Raw_Data!L32</f>
        <v>3</v>
      </c>
      <c r="M32" s="3" t="str">
        <f aca="false">Raw_Data!M32</f>
        <v>Medium</v>
      </c>
      <c r="N32" s="3" t="str">
        <f aca="false">Raw_Data!N32</f>
        <v>Digital Gold</v>
      </c>
      <c r="O32" s="3" t="n">
        <f aca="false">Raw_Data!O32</f>
        <v>3</v>
      </c>
      <c r="P32" s="3" t="n">
        <f aca="false">Raw_Data!P32</f>
        <v>4</v>
      </c>
      <c r="Q32" s="3" t="str">
        <f aca="false">IF(OR(B32="",B32=0),"Unknown",IF(B32&lt;=25,"18-25",IF(B32&lt;=35,"26-35",IF(B32&lt;=45,"36-45","46+"))))</f>
        <v>26-35</v>
      </c>
      <c r="R32" s="3" t="n">
        <f aca="false">IF(F32="Below 20,000",10000,IF(F32="20,000-40,000",30000,IF(F32="40,000-60,000",50000,IF(F32="60,000-80,000",70000,IF(F32="Above 80,000",100000,0)))))</f>
        <v>50000</v>
      </c>
      <c r="S32" s="3" t="n">
        <f aca="false">IF(G32="Yes",1,0)</f>
        <v>0</v>
      </c>
    </row>
    <row r="33" customFormat="false" ht="15" hidden="false" customHeight="true" outlineLevel="0" collapsed="false">
      <c r="A33" s="4" t="str">
        <f aca="false">Raw_Data!A33</f>
        <v>R032</v>
      </c>
      <c r="B33" s="4" t="n">
        <f aca="false">Raw_Data!B33</f>
        <v>39</v>
      </c>
      <c r="C33" s="4" t="str">
        <f aca="false">Raw_Data!C33</f>
        <v>Male</v>
      </c>
      <c r="D33" s="4" t="str">
        <f aca="false">Raw_Data!D33</f>
        <v>Delhi</v>
      </c>
      <c r="E33" s="4" t="str">
        <f aca="false">Raw_Data!E33</f>
        <v>Homemaker</v>
      </c>
      <c r="F33" s="4" t="str">
        <f aca="false">Raw_Data!F33</f>
        <v>60,000-80,000</v>
      </c>
      <c r="G33" s="4" t="str">
        <f aca="false">Raw_Data!G33</f>
        <v>Yes</v>
      </c>
      <c r="H33" s="4" t="str">
        <f aca="false">Raw_Data!H33</f>
        <v>PhonePe</v>
      </c>
      <c r="I33" s="4" t="str">
        <f aca="false">Raw_Data!I33</f>
        <v>Monthly</v>
      </c>
      <c r="J33" s="4" t="n">
        <f aca="false">Raw_Data!J33</f>
        <v>10978</v>
      </c>
      <c r="K33" s="4" t="str">
        <f aca="false">Raw_Data!K33</f>
        <v>Savings</v>
      </c>
      <c r="L33" s="4" t="n">
        <f aca="false">Raw_Data!L33</f>
        <v>1</v>
      </c>
      <c r="M33" s="4" t="str">
        <f aca="false">Raw_Data!M33</f>
        <v>Low</v>
      </c>
      <c r="N33" s="4" t="str">
        <f aca="false">Raw_Data!N33</f>
        <v>Digital Gold</v>
      </c>
      <c r="O33" s="4" t="n">
        <f aca="false">Raw_Data!O33</f>
        <v>5</v>
      </c>
      <c r="P33" s="4" t="n">
        <f aca="false">Raw_Data!P33</f>
        <v>2</v>
      </c>
      <c r="Q33" s="4" t="str">
        <f aca="false">IF(OR(B33="",B33=0),"Unknown",IF(B33&lt;=25,"18-25",IF(B33&lt;=35,"26-35",IF(B33&lt;=45,"36-45","46+"))))</f>
        <v>36-45</v>
      </c>
      <c r="R33" s="4" t="n">
        <f aca="false">IF(F33="Below 20,000",10000,IF(F33="20,000-40,000",30000,IF(F33="40,000-60,000",50000,IF(F33="60,000-80,000",70000,IF(F33="Above 80,000",100000,0)))))</f>
        <v>70000</v>
      </c>
      <c r="S33" s="4" t="n">
        <f aca="false">IF(G33="Yes",1,0)</f>
        <v>1</v>
      </c>
    </row>
    <row r="34" customFormat="false" ht="15" hidden="false" customHeight="true" outlineLevel="0" collapsed="false">
      <c r="A34" s="3" t="str">
        <f aca="false">Raw_Data!A34</f>
        <v>R033</v>
      </c>
      <c r="B34" s="3" t="n">
        <f aca="false">Raw_Data!B34</f>
        <v>18</v>
      </c>
      <c r="C34" s="3" t="str">
        <f aca="false">Raw_Data!C34</f>
        <v>Male</v>
      </c>
      <c r="D34" s="3" t="str">
        <f aca="false">Raw_Data!D34</f>
        <v>Chennai</v>
      </c>
      <c r="E34" s="3" t="str">
        <f aca="false">Raw_Data!E34</f>
        <v>Freelancer</v>
      </c>
      <c r="F34" s="3" t="str">
        <f aca="false">Raw_Data!F34</f>
        <v>20,000-40,000</v>
      </c>
      <c r="G34" s="3" t="str">
        <f aca="false">Raw_Data!G34</f>
        <v>Yes</v>
      </c>
      <c r="H34" s="3" t="str">
        <f aca="false">Raw_Data!H34</f>
        <v>PhonePe</v>
      </c>
      <c r="I34" s="3" t="str">
        <f aca="false">Raw_Data!I34</f>
        <v>Rarely</v>
      </c>
      <c r="J34" s="3" t="n">
        <f aca="false">Raw_Data!J34</f>
        <v>2868</v>
      </c>
      <c r="K34" s="3" t="str">
        <f aca="false">Raw_Data!K34</f>
        <v>Gifting</v>
      </c>
      <c r="L34" s="3" t="n">
        <f aca="false">Raw_Data!L34</f>
        <v>2</v>
      </c>
      <c r="M34" s="3" t="str">
        <f aca="false">Raw_Data!M34</f>
        <v>Medium</v>
      </c>
      <c r="N34" s="3" t="str">
        <f aca="false">Raw_Data!N34</f>
        <v>Physical Gold</v>
      </c>
      <c r="O34" s="3" t="n">
        <f aca="false">Raw_Data!O34</f>
        <v>3</v>
      </c>
      <c r="P34" s="3" t="n">
        <f aca="false">Raw_Data!P34</f>
        <v>2</v>
      </c>
      <c r="Q34" s="3" t="str">
        <f aca="false">IF(OR(B34="",B34=0),"Unknown",IF(B34&lt;=25,"18-25",IF(B34&lt;=35,"26-35",IF(B34&lt;=45,"36-45","46+"))))</f>
        <v>18-25</v>
      </c>
      <c r="R34" s="3" t="n">
        <f aca="false">IF(F34="Below 20,000",10000,IF(F34="20,000-40,000",30000,IF(F34="40,000-60,000",50000,IF(F34="60,000-80,000",70000,IF(F34="Above 80,000",100000,0)))))</f>
        <v>30000</v>
      </c>
      <c r="S34" s="3" t="n">
        <f aca="false">IF(G34="Yes",1,0)</f>
        <v>1</v>
      </c>
    </row>
    <row r="35" customFormat="false" ht="15" hidden="false" customHeight="true" outlineLevel="0" collapsed="false">
      <c r="A35" s="4" t="str">
        <f aca="false">Raw_Data!A35</f>
        <v>R034</v>
      </c>
      <c r="B35" s="4" t="n">
        <f aca="false">Raw_Data!B35</f>
        <v>18</v>
      </c>
      <c r="C35" s="4" t="str">
        <f aca="false">Raw_Data!C35</f>
        <v>Male</v>
      </c>
      <c r="D35" s="4" t="str">
        <f aca="false">Raw_Data!D35</f>
        <v>Kolkata</v>
      </c>
      <c r="E35" s="4" t="str">
        <f aca="false">Raw_Data!E35</f>
        <v>Freelancer</v>
      </c>
      <c r="F35" s="4" t="str">
        <f aca="false">Raw_Data!F35</f>
        <v>Above 80,000</v>
      </c>
      <c r="G35" s="4" t="str">
        <f aca="false">Raw_Data!G35</f>
        <v>Yes</v>
      </c>
      <c r="H35" s="4" t="str">
        <f aca="false">Raw_Data!H35</f>
        <v>Paytm</v>
      </c>
      <c r="I35" s="4" t="str">
        <f aca="false">Raw_Data!I35</f>
        <v>Daily</v>
      </c>
      <c r="J35" s="4" t="n">
        <f aca="false">Raw_Data!J35</f>
        <v>21120</v>
      </c>
      <c r="K35" s="4" t="str">
        <f aca="false">Raw_Data!K35</f>
        <v>Investment</v>
      </c>
      <c r="L35" s="4" t="n">
        <f aca="false">Raw_Data!L35</f>
        <v>2</v>
      </c>
      <c r="M35" s="4" t="str">
        <f aca="false">Raw_Data!M35</f>
        <v>Medium</v>
      </c>
      <c r="N35" s="4" t="str">
        <f aca="false">Raw_Data!N35</f>
        <v>Digital Gold</v>
      </c>
      <c r="O35" s="4" t="n">
        <f aca="false">Raw_Data!O35</f>
        <v>3</v>
      </c>
      <c r="P35" s="4" t="n">
        <f aca="false">Raw_Data!P35</f>
        <v>9</v>
      </c>
      <c r="Q35" s="4" t="str">
        <f aca="false">IF(OR(B35="",B35=0),"Unknown",IF(B35&lt;=25,"18-25",IF(B35&lt;=35,"26-35",IF(B35&lt;=45,"36-45","46+"))))</f>
        <v>18-25</v>
      </c>
      <c r="R35" s="4" t="n">
        <f aca="false">IF(F35="Below 20,000",10000,IF(F35="20,000-40,000",30000,IF(F35="40,000-60,000",50000,IF(F35="60,000-80,000",70000,IF(F35="Above 80,000",100000,0)))))</f>
        <v>100000</v>
      </c>
      <c r="S35" s="4" t="n">
        <f aca="false">IF(G35="Yes",1,0)</f>
        <v>1</v>
      </c>
    </row>
    <row r="36" customFormat="false" ht="15" hidden="false" customHeight="true" outlineLevel="0" collapsed="false">
      <c r="A36" s="3" t="str">
        <f aca="false">Raw_Data!A36</f>
        <v>R035</v>
      </c>
      <c r="B36" s="3" t="n">
        <f aca="false">Raw_Data!B36</f>
        <v>59</v>
      </c>
      <c r="C36" s="3" t="str">
        <f aca="false">Raw_Data!C36</f>
        <v>Male</v>
      </c>
      <c r="D36" s="3" t="str">
        <f aca="false">Raw_Data!D36</f>
        <v>Jaipur</v>
      </c>
      <c r="E36" s="3" t="str">
        <f aca="false">Raw_Data!E36</f>
        <v>Salaried</v>
      </c>
      <c r="F36" s="3" t="str">
        <f aca="false">Raw_Data!F36</f>
        <v>Below 20,000</v>
      </c>
      <c r="G36" s="3" t="str">
        <f aca="false">Raw_Data!G36</f>
        <v>Yes</v>
      </c>
      <c r="H36" s="3" t="str">
        <f aca="false">Raw_Data!H36</f>
        <v>Groww</v>
      </c>
      <c r="I36" s="3" t="str">
        <f aca="false">Raw_Data!I36</f>
        <v>Daily</v>
      </c>
      <c r="J36" s="3" t="n">
        <f aca="false">Raw_Data!J36</f>
        <v>820</v>
      </c>
      <c r="K36" s="3" t="str">
        <f aca="false">Raw_Data!K36</f>
        <v>Savings</v>
      </c>
      <c r="L36" s="3" t="n">
        <f aca="false">Raw_Data!L36</f>
        <v>1</v>
      </c>
      <c r="M36" s="3" t="str">
        <f aca="false">Raw_Data!M36</f>
        <v>Low</v>
      </c>
      <c r="N36" s="3" t="str">
        <f aca="false">Raw_Data!N36</f>
        <v>Digital Gold</v>
      </c>
      <c r="O36" s="3" t="n">
        <f aca="false">Raw_Data!O36</f>
        <v>5</v>
      </c>
      <c r="P36" s="3" t="n">
        <f aca="false">Raw_Data!P36</f>
        <v>5</v>
      </c>
      <c r="Q36" s="3" t="str">
        <f aca="false">IF(OR(B36="",B36=0),"Unknown",IF(B36&lt;=25,"18-25",IF(B36&lt;=35,"26-35",IF(B36&lt;=45,"36-45","46+"))))</f>
        <v>46+</v>
      </c>
      <c r="R36" s="3" t="n">
        <f aca="false">IF(F36="Below 20,000",10000,IF(F36="20,000-40,000",30000,IF(F36="40,000-60,000",50000,IF(F36="60,000-80,000",70000,IF(F36="Above 80,000",100000,0)))))</f>
        <v>10000</v>
      </c>
      <c r="S36" s="3" t="n">
        <f aca="false">IF(G36="Yes",1,0)</f>
        <v>1</v>
      </c>
    </row>
    <row r="37" customFormat="false" ht="15" hidden="false" customHeight="true" outlineLevel="0" collapsed="false">
      <c r="A37" s="4" t="str">
        <f aca="false">Raw_Data!A37</f>
        <v>R036</v>
      </c>
      <c r="B37" s="4" t="n">
        <f aca="false">Raw_Data!B37</f>
        <v>27</v>
      </c>
      <c r="C37" s="4" t="str">
        <f aca="false">Raw_Data!C37</f>
        <v>Male</v>
      </c>
      <c r="D37" s="4" t="str">
        <f aca="false">Raw_Data!D37</f>
        <v>Delhi</v>
      </c>
      <c r="E37" s="4" t="str">
        <f aca="false">Raw_Data!E37</f>
        <v>Student</v>
      </c>
      <c r="F37" s="4" t="str">
        <f aca="false">Raw_Data!F37</f>
        <v>20,000-40,000</v>
      </c>
      <c r="G37" s="4" t="str">
        <f aca="false">Raw_Data!G37</f>
        <v>No</v>
      </c>
      <c r="H37" s="4" t="n">
        <f aca="false">Raw_Data!H37</f>
        <v>0</v>
      </c>
      <c r="I37" s="4" t="n">
        <f aca="false">Raw_Data!I37</f>
        <v>0</v>
      </c>
      <c r="J37" s="4" t="n">
        <f aca="false">Raw_Data!J37</f>
        <v>0</v>
      </c>
      <c r="K37" s="4" t="n">
        <f aca="false">Raw_Data!K37</f>
        <v>0</v>
      </c>
      <c r="L37" s="4" t="n">
        <f aca="false">Raw_Data!L37</f>
        <v>2</v>
      </c>
      <c r="M37" s="4" t="str">
        <f aca="false">Raw_Data!M37</f>
        <v>Medium</v>
      </c>
      <c r="N37" s="4" t="str">
        <f aca="false">Raw_Data!N37</f>
        <v>Digital Gold</v>
      </c>
      <c r="O37" s="4" t="n">
        <f aca="false">Raw_Data!O37</f>
        <v>4</v>
      </c>
      <c r="P37" s="4" t="n">
        <f aca="false">Raw_Data!P37</f>
        <v>3</v>
      </c>
      <c r="Q37" s="4" t="str">
        <f aca="false">IF(OR(B37="",B37=0),"Unknown",IF(B37&lt;=25,"18-25",IF(B37&lt;=35,"26-35",IF(B37&lt;=45,"36-45","46+"))))</f>
        <v>26-35</v>
      </c>
      <c r="R37" s="4" t="n">
        <f aca="false">IF(F37="Below 20,000",10000,IF(F37="20,000-40,000",30000,IF(F37="40,000-60,000",50000,IF(F37="60,000-80,000",70000,IF(F37="Above 80,000",100000,0)))))</f>
        <v>30000</v>
      </c>
      <c r="S37" s="4" t="n">
        <f aca="false">IF(G37="Yes",1,0)</f>
        <v>0</v>
      </c>
    </row>
    <row r="38" customFormat="false" ht="15" hidden="false" customHeight="true" outlineLevel="0" collapsed="false">
      <c r="A38" s="3" t="str">
        <f aca="false">Raw_Data!A38</f>
        <v>R037</v>
      </c>
      <c r="B38" s="3" t="n">
        <f aca="false">Raw_Data!B38</f>
        <v>50</v>
      </c>
      <c r="C38" s="3" t="str">
        <f aca="false">Raw_Data!C38</f>
        <v>Male</v>
      </c>
      <c r="D38" s="3" t="str">
        <f aca="false">Raw_Data!D38</f>
        <v>Mumbai</v>
      </c>
      <c r="E38" s="3" t="str">
        <f aca="false">Raw_Data!E38</f>
        <v>Homemaker</v>
      </c>
      <c r="F38" s="3" t="str">
        <f aca="false">Raw_Data!F38</f>
        <v>60,000-80,000</v>
      </c>
      <c r="G38" s="3" t="str">
        <f aca="false">Raw_Data!G38</f>
        <v>No</v>
      </c>
      <c r="H38" s="3" t="n">
        <f aca="false">Raw_Data!H38</f>
        <v>0</v>
      </c>
      <c r="I38" s="3" t="n">
        <f aca="false">Raw_Data!I38</f>
        <v>0</v>
      </c>
      <c r="J38" s="3" t="n">
        <f aca="false">Raw_Data!J38</f>
        <v>0</v>
      </c>
      <c r="K38" s="3" t="n">
        <f aca="false">Raw_Data!K38</f>
        <v>0</v>
      </c>
      <c r="L38" s="3" t="n">
        <f aca="false">Raw_Data!L38</f>
        <v>2</v>
      </c>
      <c r="M38" s="3" t="str">
        <f aca="false">Raw_Data!M38</f>
        <v>Low</v>
      </c>
      <c r="N38" s="3" t="str">
        <f aca="false">Raw_Data!N38</f>
        <v>Digital Gold</v>
      </c>
      <c r="O38" s="3" t="n">
        <f aca="false">Raw_Data!O38</f>
        <v>4</v>
      </c>
      <c r="P38" s="3" t="n">
        <f aca="false">Raw_Data!P38</f>
        <v>8</v>
      </c>
      <c r="Q38" s="3" t="str">
        <f aca="false">IF(OR(B38="",B38=0),"Unknown",IF(B38&lt;=25,"18-25",IF(B38&lt;=35,"26-35",IF(B38&lt;=45,"36-45","46+"))))</f>
        <v>46+</v>
      </c>
      <c r="R38" s="3" t="n">
        <f aca="false">IF(F38="Below 20,000",10000,IF(F38="20,000-40,000",30000,IF(F38="40,000-60,000",50000,IF(F38="60,000-80,000",70000,IF(F38="Above 80,000",100000,0)))))</f>
        <v>70000</v>
      </c>
      <c r="S38" s="3" t="n">
        <f aca="false">IF(G38="Yes",1,0)</f>
        <v>0</v>
      </c>
    </row>
    <row r="39" customFormat="false" ht="15" hidden="false" customHeight="true" outlineLevel="0" collapsed="false">
      <c r="A39" s="4" t="str">
        <f aca="false">Raw_Data!A39</f>
        <v>R038</v>
      </c>
      <c r="B39" s="4" t="n">
        <f aca="false">Raw_Data!B39</f>
        <v>22</v>
      </c>
      <c r="C39" s="4" t="n">
        <f aca="false">Raw_Data!C39</f>
        <v>0</v>
      </c>
      <c r="D39" s="4" t="str">
        <f aca="false">Raw_Data!D39</f>
        <v>Hyderabad</v>
      </c>
      <c r="E39" s="4" t="str">
        <f aca="false">Raw_Data!E39</f>
        <v>Freelancer</v>
      </c>
      <c r="F39" s="4" t="str">
        <f aca="false">Raw_Data!F39</f>
        <v>60,000-80,000</v>
      </c>
      <c r="G39" s="4" t="str">
        <f aca="false">Raw_Data!G39</f>
        <v>Yes</v>
      </c>
      <c r="H39" s="4" t="str">
        <f aca="false">Raw_Data!H39</f>
        <v>PhonePe</v>
      </c>
      <c r="I39" s="4" t="str">
        <f aca="false">Raw_Data!I39</f>
        <v>Rarely</v>
      </c>
      <c r="J39" s="4" t="n">
        <f aca="false">Raw_Data!J39</f>
        <v>12726</v>
      </c>
      <c r="K39" s="4" t="str">
        <f aca="false">Raw_Data!K39</f>
        <v>Investment</v>
      </c>
      <c r="L39" s="4" t="n">
        <f aca="false">Raw_Data!L39</f>
        <v>4</v>
      </c>
      <c r="M39" s="4" t="str">
        <f aca="false">Raw_Data!M39</f>
        <v>High</v>
      </c>
      <c r="N39" s="4" t="str">
        <f aca="false">Raw_Data!N39</f>
        <v>Physical Gold</v>
      </c>
      <c r="O39" s="4" t="n">
        <f aca="false">Raw_Data!O39</f>
        <v>5</v>
      </c>
      <c r="P39" s="4" t="n">
        <f aca="false">Raw_Data!P39</f>
        <v>1</v>
      </c>
      <c r="Q39" s="4" t="str">
        <f aca="false">IF(OR(B39="",B39=0),"Unknown",IF(B39&lt;=25,"18-25",IF(B39&lt;=35,"26-35",IF(B39&lt;=45,"36-45","46+"))))</f>
        <v>18-25</v>
      </c>
      <c r="R39" s="4" t="n">
        <f aca="false">IF(F39="Below 20,000",10000,IF(F39="20,000-40,000",30000,IF(F39="40,000-60,000",50000,IF(F39="60,000-80,000",70000,IF(F39="Above 80,000",100000,0)))))</f>
        <v>70000</v>
      </c>
      <c r="S39" s="4" t="n">
        <f aca="false">IF(G39="Yes",1,0)</f>
        <v>1</v>
      </c>
    </row>
    <row r="40" customFormat="false" ht="15" hidden="false" customHeight="true" outlineLevel="0" collapsed="false">
      <c r="A40" s="3" t="str">
        <f aca="false">Raw_Data!A40</f>
        <v>R039</v>
      </c>
      <c r="B40" s="3" t="n">
        <f aca="false">Raw_Data!B40</f>
        <v>41</v>
      </c>
      <c r="C40" s="3" t="n">
        <f aca="false">Raw_Data!C40</f>
        <v>0</v>
      </c>
      <c r="D40" s="3" t="str">
        <f aca="false">Raw_Data!D40</f>
        <v>Mumbai</v>
      </c>
      <c r="E40" s="3" t="str">
        <f aca="false">Raw_Data!E40</f>
        <v>Student</v>
      </c>
      <c r="F40" s="3" t="n">
        <f aca="false">Raw_Data!F40</f>
        <v>0</v>
      </c>
      <c r="G40" s="3" t="str">
        <f aca="false">Raw_Data!G40</f>
        <v>Yes</v>
      </c>
      <c r="H40" s="3" t="str">
        <f aca="false">Raw_Data!H40</f>
        <v>Zerodha</v>
      </c>
      <c r="I40" s="3" t="str">
        <f aca="false">Raw_Data!I40</f>
        <v>Weekly</v>
      </c>
      <c r="J40" s="3" t="n">
        <f aca="false">Raw_Data!J40</f>
        <v>626</v>
      </c>
      <c r="K40" s="3" t="str">
        <f aca="false">Raw_Data!K40</f>
        <v>Savings</v>
      </c>
      <c r="L40" s="3" t="n">
        <f aca="false">Raw_Data!L40</f>
        <v>3</v>
      </c>
      <c r="M40" s="3" t="str">
        <f aca="false">Raw_Data!M40</f>
        <v>Low</v>
      </c>
      <c r="N40" s="3" t="str">
        <f aca="false">Raw_Data!N40</f>
        <v>Digital Gold</v>
      </c>
      <c r="O40" s="3" t="n">
        <f aca="false">Raw_Data!O40</f>
        <v>1</v>
      </c>
      <c r="P40" s="3" t="n">
        <f aca="false">Raw_Data!P40</f>
        <v>4</v>
      </c>
      <c r="Q40" s="3" t="str">
        <f aca="false">IF(OR(B40="",B40=0),"Unknown",IF(B40&lt;=25,"18-25",IF(B40&lt;=35,"26-35",IF(B40&lt;=45,"36-45","46+"))))</f>
        <v>36-45</v>
      </c>
      <c r="R40" s="3" t="n">
        <f aca="false">IF(F40="Below 20,000",10000,IF(F40="20,000-40,000",30000,IF(F40="40,000-60,000",50000,IF(F40="60,000-80,000",70000,IF(F40="Above 80,000",100000,0)))))</f>
        <v>0</v>
      </c>
      <c r="S40" s="3" t="n">
        <f aca="false">IF(G40="Yes",1,0)</f>
        <v>1</v>
      </c>
    </row>
    <row r="41" customFormat="false" ht="15" hidden="false" customHeight="true" outlineLevel="0" collapsed="false">
      <c r="A41" s="4" t="str">
        <f aca="false">Raw_Data!A41</f>
        <v>R040</v>
      </c>
      <c r="B41" s="4" t="n">
        <f aca="false">Raw_Data!B41</f>
        <v>21</v>
      </c>
      <c r="C41" s="4" t="str">
        <f aca="false">Raw_Data!C41</f>
        <v>Male</v>
      </c>
      <c r="D41" s="4" t="str">
        <f aca="false">Raw_Data!D41</f>
        <v>Kolkata</v>
      </c>
      <c r="E41" s="4" t="str">
        <f aca="false">Raw_Data!E41</f>
        <v>Salaried</v>
      </c>
      <c r="F41" s="4" t="str">
        <f aca="false">Raw_Data!F41</f>
        <v>40,000-60,000</v>
      </c>
      <c r="G41" s="4" t="str">
        <f aca="false">Raw_Data!G41</f>
        <v>Yes</v>
      </c>
      <c r="H41" s="4" t="str">
        <f aca="false">Raw_Data!H41</f>
        <v>Zerodha</v>
      </c>
      <c r="I41" s="4" t="str">
        <f aca="false">Raw_Data!I41</f>
        <v>Daily</v>
      </c>
      <c r="J41" s="4" t="n">
        <f aca="false">Raw_Data!J41</f>
        <v>0</v>
      </c>
      <c r="K41" s="4" t="str">
        <f aca="false">Raw_Data!K41</f>
        <v>Investment</v>
      </c>
      <c r="L41" s="4" t="n">
        <f aca="false">Raw_Data!L41</f>
        <v>1</v>
      </c>
      <c r="M41" s="4" t="str">
        <f aca="false">Raw_Data!M41</f>
        <v>High</v>
      </c>
      <c r="N41" s="4" t="str">
        <f aca="false">Raw_Data!N41</f>
        <v>Digital Gold</v>
      </c>
      <c r="O41" s="4" t="n">
        <f aca="false">Raw_Data!O41</f>
        <v>5</v>
      </c>
      <c r="P41" s="4" t="n">
        <f aca="false">Raw_Data!P41</f>
        <v>4</v>
      </c>
      <c r="Q41" s="4" t="str">
        <f aca="false">IF(OR(B41="",B41=0),"Unknown",IF(B41&lt;=25,"18-25",IF(B41&lt;=35,"26-35",IF(B41&lt;=45,"36-45","46+"))))</f>
        <v>18-25</v>
      </c>
      <c r="R41" s="4" t="n">
        <f aca="false">IF(F41="Below 20,000",10000,IF(F41="20,000-40,000",30000,IF(F41="40,000-60,000",50000,IF(F41="60,000-80,000",70000,IF(F41="Above 80,000",100000,0)))))</f>
        <v>50000</v>
      </c>
      <c r="S41" s="4" t="n">
        <f aca="false">IF(G41="Yes",1,0)</f>
        <v>1</v>
      </c>
    </row>
    <row r="42" customFormat="false" ht="15" hidden="false" customHeight="true" outlineLevel="0" collapsed="false">
      <c r="A42" s="3" t="str">
        <f aca="false">Raw_Data!A42</f>
        <v>R041</v>
      </c>
      <c r="B42" s="3" t="n">
        <f aca="false">Raw_Data!B42</f>
        <v>50</v>
      </c>
      <c r="C42" s="3" t="str">
        <f aca="false">Raw_Data!C42</f>
        <v>Male</v>
      </c>
      <c r="D42" s="3" t="str">
        <f aca="false">Raw_Data!D42</f>
        <v>Kolkata</v>
      </c>
      <c r="E42" s="3" t="str">
        <f aca="false">Raw_Data!E42</f>
        <v>Homemaker</v>
      </c>
      <c r="F42" s="3" t="str">
        <f aca="false">Raw_Data!F42</f>
        <v>Above 80,000</v>
      </c>
      <c r="G42" s="3" t="str">
        <f aca="false">Raw_Data!G42</f>
        <v>Yes</v>
      </c>
      <c r="H42" s="3" t="str">
        <f aca="false">Raw_Data!H42</f>
        <v>Paytm</v>
      </c>
      <c r="I42" s="3" t="str">
        <f aca="false">Raw_Data!I42</f>
        <v>Quarterly</v>
      </c>
      <c r="J42" s="3" t="n">
        <f aca="false">Raw_Data!J42</f>
        <v>10014</v>
      </c>
      <c r="K42" s="3" t="str">
        <f aca="false">Raw_Data!K42</f>
        <v>Gifting</v>
      </c>
      <c r="L42" s="3" t="n">
        <f aca="false">Raw_Data!L42</f>
        <v>4</v>
      </c>
      <c r="M42" s="3" t="str">
        <f aca="false">Raw_Data!M42</f>
        <v>Low</v>
      </c>
      <c r="N42" s="3" t="str">
        <f aca="false">Raw_Data!N42</f>
        <v>Physical Gold</v>
      </c>
      <c r="O42" s="3" t="n">
        <f aca="false">Raw_Data!O42</f>
        <v>1</v>
      </c>
      <c r="P42" s="3" t="n">
        <f aca="false">Raw_Data!P42</f>
        <v>1</v>
      </c>
      <c r="Q42" s="3" t="str">
        <f aca="false">IF(OR(B42="",B42=0),"Unknown",IF(B42&lt;=25,"18-25",IF(B42&lt;=35,"26-35",IF(B42&lt;=45,"36-45","46+"))))</f>
        <v>46+</v>
      </c>
      <c r="R42" s="3" t="n">
        <f aca="false">IF(F42="Below 20,000",10000,IF(F42="20,000-40,000",30000,IF(F42="40,000-60,000",50000,IF(F42="60,000-80,000",70000,IF(F42="Above 80,000",100000,0)))))</f>
        <v>100000</v>
      </c>
      <c r="S42" s="3" t="n">
        <f aca="false">IF(G42="Yes",1,0)</f>
        <v>1</v>
      </c>
    </row>
    <row r="43" customFormat="false" ht="15" hidden="false" customHeight="true" outlineLevel="0" collapsed="false">
      <c r="A43" s="4" t="str">
        <f aca="false">Raw_Data!A43</f>
        <v>R042</v>
      </c>
      <c r="B43" s="4" t="n">
        <f aca="false">Raw_Data!B43</f>
        <v>55</v>
      </c>
      <c r="C43" s="4" t="str">
        <f aca="false">Raw_Data!C43</f>
        <v>Female</v>
      </c>
      <c r="D43" s="4" t="str">
        <f aca="false">Raw_Data!D43</f>
        <v>Hyderabad</v>
      </c>
      <c r="E43" s="4" t="str">
        <f aca="false">Raw_Data!E43</f>
        <v>Student</v>
      </c>
      <c r="F43" s="4" t="str">
        <f aca="false">Raw_Data!F43</f>
        <v>Above 80,000</v>
      </c>
      <c r="G43" s="4" t="str">
        <f aca="false">Raw_Data!G43</f>
        <v>Yes</v>
      </c>
      <c r="H43" s="4" t="str">
        <f aca="false">Raw_Data!H43</f>
        <v>Google Pay</v>
      </c>
      <c r="I43" s="4" t="str">
        <f aca="false">Raw_Data!I43</f>
        <v>Weekly</v>
      </c>
      <c r="J43" s="4" t="n">
        <f aca="false">Raw_Data!J43</f>
        <v>15707</v>
      </c>
      <c r="K43" s="4" t="str">
        <f aca="false">Raw_Data!K43</f>
        <v>Savings</v>
      </c>
      <c r="L43" s="4" t="n">
        <f aca="false">Raw_Data!L43</f>
        <v>3</v>
      </c>
      <c r="M43" s="4" t="str">
        <f aca="false">Raw_Data!M43</f>
        <v>Low</v>
      </c>
      <c r="N43" s="4" t="str">
        <f aca="false">Raw_Data!N43</f>
        <v>Mutual Funds</v>
      </c>
      <c r="O43" s="4" t="n">
        <f aca="false">Raw_Data!O43</f>
        <v>1</v>
      </c>
      <c r="P43" s="4" t="n">
        <f aca="false">Raw_Data!P43</f>
        <v>9</v>
      </c>
      <c r="Q43" s="4" t="str">
        <f aca="false">IF(OR(B43="",B43=0),"Unknown",IF(B43&lt;=25,"18-25",IF(B43&lt;=35,"26-35",IF(B43&lt;=45,"36-45","46+"))))</f>
        <v>46+</v>
      </c>
      <c r="R43" s="4" t="n">
        <f aca="false">IF(F43="Below 20,000",10000,IF(F43="20,000-40,000",30000,IF(F43="40,000-60,000",50000,IF(F43="60,000-80,000",70000,IF(F43="Above 80,000",100000,0)))))</f>
        <v>100000</v>
      </c>
      <c r="S43" s="4" t="n">
        <f aca="false">IF(G43="Yes",1,0)</f>
        <v>1</v>
      </c>
    </row>
    <row r="44" customFormat="false" ht="15" hidden="false" customHeight="true" outlineLevel="0" collapsed="false">
      <c r="A44" s="3" t="str">
        <f aca="false">Raw_Data!A44</f>
        <v>R043</v>
      </c>
      <c r="B44" s="3" t="n">
        <f aca="false">Raw_Data!B44</f>
        <v>55</v>
      </c>
      <c r="C44" s="3" t="str">
        <f aca="false">Raw_Data!C44</f>
        <v>Male</v>
      </c>
      <c r="D44" s="3" t="str">
        <f aca="false">Raw_Data!D44</f>
        <v>Mumbai</v>
      </c>
      <c r="E44" s="3" t="str">
        <f aca="false">Raw_Data!E44</f>
        <v>Salaried</v>
      </c>
      <c r="F44" s="3" t="str">
        <f aca="false">Raw_Data!F44</f>
        <v>20,000-40,000</v>
      </c>
      <c r="G44" s="3" t="str">
        <f aca="false">Raw_Data!G44</f>
        <v>No</v>
      </c>
      <c r="H44" s="3" t="n">
        <f aca="false">Raw_Data!H44</f>
        <v>0</v>
      </c>
      <c r="I44" s="3" t="n">
        <f aca="false">Raw_Data!I44</f>
        <v>0</v>
      </c>
      <c r="J44" s="3" t="n">
        <f aca="false">Raw_Data!J44</f>
        <v>0</v>
      </c>
      <c r="K44" s="3" t="n">
        <f aca="false">Raw_Data!K44</f>
        <v>0</v>
      </c>
      <c r="L44" s="3" t="n">
        <f aca="false">Raw_Data!L44</f>
        <v>1</v>
      </c>
      <c r="M44" s="3" t="str">
        <f aca="false">Raw_Data!M44</f>
        <v>Low</v>
      </c>
      <c r="N44" s="3" t="str">
        <f aca="false">Raw_Data!N44</f>
        <v>Digital Gold</v>
      </c>
      <c r="O44" s="3" t="n">
        <f aca="false">Raw_Data!O44</f>
        <v>2</v>
      </c>
      <c r="P44" s="3" t="n">
        <f aca="false">Raw_Data!P44</f>
        <v>5</v>
      </c>
      <c r="Q44" s="3" t="str">
        <f aca="false">IF(OR(B44="",B44=0),"Unknown",IF(B44&lt;=25,"18-25",IF(B44&lt;=35,"26-35",IF(B44&lt;=45,"36-45","46+"))))</f>
        <v>46+</v>
      </c>
      <c r="R44" s="3" t="n">
        <f aca="false">IF(F44="Below 20,000",10000,IF(F44="20,000-40,000",30000,IF(F44="40,000-60,000",50000,IF(F44="60,000-80,000",70000,IF(F44="Above 80,000",100000,0)))))</f>
        <v>30000</v>
      </c>
      <c r="S44" s="3" t="n">
        <f aca="false">IF(G44="Yes",1,0)</f>
        <v>0</v>
      </c>
    </row>
    <row r="45" customFormat="false" ht="15" hidden="false" customHeight="true" outlineLevel="0" collapsed="false">
      <c r="A45" s="4" t="str">
        <f aca="false">Raw_Data!A45</f>
        <v>R044</v>
      </c>
      <c r="B45" s="4" t="n">
        <f aca="false">Raw_Data!B45</f>
        <v>20</v>
      </c>
      <c r="C45" s="4" t="str">
        <f aca="false">Raw_Data!C45</f>
        <v>Female</v>
      </c>
      <c r="D45" s="4" t="str">
        <f aca="false">Raw_Data!D45</f>
        <v>Delhi</v>
      </c>
      <c r="E45" s="4" t="str">
        <f aca="false">Raw_Data!E45</f>
        <v>Freelancer</v>
      </c>
      <c r="F45" s="4" t="str">
        <f aca="false">Raw_Data!F45</f>
        <v>Above 80,000</v>
      </c>
      <c r="G45" s="4" t="str">
        <f aca="false">Raw_Data!G45</f>
        <v>No</v>
      </c>
      <c r="H45" s="4" t="str">
        <f aca="false">Raw_Data!H45</f>
        <v>Paytm</v>
      </c>
      <c r="I45" s="4" t="n">
        <f aca="false">Raw_Data!I45</f>
        <v>0</v>
      </c>
      <c r="J45" s="4" t="n">
        <f aca="false">Raw_Data!J45</f>
        <v>0</v>
      </c>
      <c r="K45" s="4" t="n">
        <f aca="false">Raw_Data!K45</f>
        <v>0</v>
      </c>
      <c r="L45" s="4" t="n">
        <f aca="false">Raw_Data!L45</f>
        <v>1</v>
      </c>
      <c r="M45" s="4" t="str">
        <f aca="false">Raw_Data!M45</f>
        <v>Low</v>
      </c>
      <c r="N45" s="4" t="str">
        <f aca="false">Raw_Data!N45</f>
        <v>Digital Gold</v>
      </c>
      <c r="O45" s="4" t="n">
        <f aca="false">Raw_Data!O45</f>
        <v>4</v>
      </c>
      <c r="P45" s="4" t="n">
        <f aca="false">Raw_Data!P45</f>
        <v>6</v>
      </c>
      <c r="Q45" s="4" t="str">
        <f aca="false">IF(OR(B45="",B45=0),"Unknown",IF(B45&lt;=25,"18-25",IF(B45&lt;=35,"26-35",IF(B45&lt;=45,"36-45","46+"))))</f>
        <v>18-25</v>
      </c>
      <c r="R45" s="4" t="n">
        <f aca="false">IF(F45="Below 20,000",10000,IF(F45="20,000-40,000",30000,IF(F45="40,000-60,000",50000,IF(F45="60,000-80,000",70000,IF(F45="Above 80,000",100000,0)))))</f>
        <v>100000</v>
      </c>
      <c r="S45" s="4" t="n">
        <f aca="false">IF(G45="Yes",1,0)</f>
        <v>0</v>
      </c>
    </row>
    <row r="46" customFormat="false" ht="15" hidden="false" customHeight="true" outlineLevel="0" collapsed="false">
      <c r="A46" s="3" t="str">
        <f aca="false">Raw_Data!A46</f>
        <v>R045</v>
      </c>
      <c r="B46" s="3" t="n">
        <f aca="false">Raw_Data!B46</f>
        <v>36</v>
      </c>
      <c r="C46" s="3" t="str">
        <f aca="false">Raw_Data!C46</f>
        <v>Female</v>
      </c>
      <c r="D46" s="3" t="str">
        <f aca="false">Raw_Data!D46</f>
        <v>Hyderabad</v>
      </c>
      <c r="E46" s="3" t="str">
        <f aca="false">Raw_Data!E46</f>
        <v>Government Employee</v>
      </c>
      <c r="F46" s="3" t="str">
        <f aca="false">Raw_Data!F46</f>
        <v>40,000-60,000</v>
      </c>
      <c r="G46" s="3" t="str">
        <f aca="false">Raw_Data!G46</f>
        <v>Yes</v>
      </c>
      <c r="H46" s="3" t="str">
        <f aca="false">Raw_Data!H46</f>
        <v>MMTC-PAMP</v>
      </c>
      <c r="I46" s="3" t="str">
        <f aca="false">Raw_Data!I46</f>
        <v>Quarterly</v>
      </c>
      <c r="J46" s="3" t="n">
        <f aca="false">Raw_Data!J46</f>
        <v>2865</v>
      </c>
      <c r="K46" s="3" t="str">
        <f aca="false">Raw_Data!K46</f>
        <v>Investment</v>
      </c>
      <c r="L46" s="3" t="n">
        <f aca="false">Raw_Data!L46</f>
        <v>3</v>
      </c>
      <c r="M46" s="3" t="str">
        <f aca="false">Raw_Data!M46</f>
        <v>Medium</v>
      </c>
      <c r="N46" s="3" t="str">
        <f aca="false">Raw_Data!N46</f>
        <v>Digital Gold</v>
      </c>
      <c r="O46" s="3" t="n">
        <f aca="false">Raw_Data!O46</f>
        <v>3</v>
      </c>
      <c r="P46" s="3" t="n">
        <f aca="false">Raw_Data!P46</f>
        <v>10</v>
      </c>
      <c r="Q46" s="3" t="str">
        <f aca="false">IF(OR(B46="",B46=0),"Unknown",IF(B46&lt;=25,"18-25",IF(B46&lt;=35,"26-35",IF(B46&lt;=45,"36-45","46+"))))</f>
        <v>36-45</v>
      </c>
      <c r="R46" s="3" t="n">
        <f aca="false">IF(F46="Below 20,000",10000,IF(F46="20,000-40,000",30000,IF(F46="40,000-60,000",50000,IF(F46="60,000-80,000",70000,IF(F46="Above 80,000",100000,0)))))</f>
        <v>50000</v>
      </c>
      <c r="S46" s="3" t="n">
        <f aca="false">IF(G46="Yes",1,0)</f>
        <v>1</v>
      </c>
    </row>
    <row r="47" customFormat="false" ht="15" hidden="false" customHeight="true" outlineLevel="0" collapsed="false">
      <c r="A47" s="4" t="str">
        <f aca="false">Raw_Data!A47</f>
        <v>R046</v>
      </c>
      <c r="B47" s="4" t="n">
        <f aca="false">Raw_Data!B47</f>
        <v>58</v>
      </c>
      <c r="C47" s="4" t="str">
        <f aca="false">Raw_Data!C47</f>
        <v>Female</v>
      </c>
      <c r="D47" s="4" t="str">
        <f aca="false">Raw_Data!D47</f>
        <v>Bangalore</v>
      </c>
      <c r="E47" s="4" t="str">
        <f aca="false">Raw_Data!E47</f>
        <v>Freelancer</v>
      </c>
      <c r="F47" s="4" t="str">
        <f aca="false">Raw_Data!F47</f>
        <v>20,000-40,000</v>
      </c>
      <c r="G47" s="4" t="str">
        <f aca="false">Raw_Data!G47</f>
        <v>Yes</v>
      </c>
      <c r="H47" s="4" t="str">
        <f aca="false">Raw_Data!H47</f>
        <v>Google Pay</v>
      </c>
      <c r="I47" s="4" t="str">
        <f aca="false">Raw_Data!I47</f>
        <v>Monthly</v>
      </c>
      <c r="J47" s="4" t="n">
        <f aca="false">Raw_Data!J47</f>
        <v>1710</v>
      </c>
      <c r="K47" s="4" t="str">
        <f aca="false">Raw_Data!K47</f>
        <v>Gifting</v>
      </c>
      <c r="L47" s="4" t="n">
        <f aca="false">Raw_Data!L47</f>
        <v>3</v>
      </c>
      <c r="M47" s="4" t="str">
        <f aca="false">Raw_Data!M47</f>
        <v>Medium</v>
      </c>
      <c r="N47" s="4" t="str">
        <f aca="false">Raw_Data!N47</f>
        <v>Digital Gold</v>
      </c>
      <c r="O47" s="4" t="n">
        <f aca="false">Raw_Data!O47</f>
        <v>1</v>
      </c>
      <c r="P47" s="4" t="n">
        <f aca="false">Raw_Data!P47</f>
        <v>3</v>
      </c>
      <c r="Q47" s="4" t="str">
        <f aca="false">IF(OR(B47="",B47=0),"Unknown",IF(B47&lt;=25,"18-25",IF(B47&lt;=35,"26-35",IF(B47&lt;=45,"36-45","46+"))))</f>
        <v>46+</v>
      </c>
      <c r="R47" s="4" t="n">
        <f aca="false">IF(F47="Below 20,000",10000,IF(F47="20,000-40,000",30000,IF(F47="40,000-60,000",50000,IF(F47="60,000-80,000",70000,IF(F47="Above 80,000",100000,0)))))</f>
        <v>30000</v>
      </c>
      <c r="S47" s="4" t="n">
        <f aca="false">IF(G47="Yes",1,0)</f>
        <v>1</v>
      </c>
    </row>
    <row r="48" customFormat="false" ht="15" hidden="false" customHeight="true" outlineLevel="0" collapsed="false">
      <c r="A48" s="3" t="str">
        <f aca="false">Raw_Data!A48</f>
        <v>R047</v>
      </c>
      <c r="B48" s="3" t="n">
        <f aca="false">Raw_Data!B48</f>
        <v>0</v>
      </c>
      <c r="C48" s="3" t="n">
        <f aca="false">Raw_Data!C48</f>
        <v>0</v>
      </c>
      <c r="D48" s="3" t="str">
        <f aca="false">Raw_Data!D48</f>
        <v>Kolkata</v>
      </c>
      <c r="E48" s="3" t="str">
        <f aca="false">Raw_Data!E48</f>
        <v>Homemaker</v>
      </c>
      <c r="F48" s="3" t="str">
        <f aca="false">Raw_Data!F48</f>
        <v>Above 80,000</v>
      </c>
      <c r="G48" s="3" t="str">
        <f aca="false">Raw_Data!G48</f>
        <v>Yes</v>
      </c>
      <c r="H48" s="3" t="str">
        <f aca="false">Raw_Data!H48</f>
        <v>Google Pay</v>
      </c>
      <c r="I48" s="3" t="str">
        <f aca="false">Raw_Data!I48</f>
        <v>Quarterly</v>
      </c>
      <c r="J48" s="3" t="n">
        <f aca="false">Raw_Data!J48</f>
        <v>18228</v>
      </c>
      <c r="K48" s="3" t="str">
        <f aca="false">Raw_Data!K48</f>
        <v>Gifting</v>
      </c>
      <c r="L48" s="3" t="n">
        <f aca="false">Raw_Data!L48</f>
        <v>5</v>
      </c>
      <c r="M48" s="3" t="str">
        <f aca="false">Raw_Data!M48</f>
        <v>Medium</v>
      </c>
      <c r="N48" s="3" t="str">
        <f aca="false">Raw_Data!N48</f>
        <v>Physical Gold</v>
      </c>
      <c r="O48" s="3" t="n">
        <f aca="false">Raw_Data!O48</f>
        <v>2</v>
      </c>
      <c r="P48" s="3" t="n">
        <f aca="false">Raw_Data!P48</f>
        <v>10</v>
      </c>
      <c r="Q48" s="3" t="str">
        <f aca="false">IF(OR(B48="",B48=0),"Unknown",IF(B48&lt;=25,"18-25",IF(B48&lt;=35,"26-35",IF(B48&lt;=45,"36-45","46+"))))</f>
        <v>Unknown</v>
      </c>
      <c r="R48" s="3" t="n">
        <f aca="false">IF(F48="Below 20,000",10000,IF(F48="20,000-40,000",30000,IF(F48="40,000-60,000",50000,IF(F48="60,000-80,000",70000,IF(F48="Above 80,000",100000,0)))))</f>
        <v>100000</v>
      </c>
      <c r="S48" s="3" t="n">
        <f aca="false">IF(G48="Yes",1,0)</f>
        <v>1</v>
      </c>
    </row>
    <row r="49" customFormat="false" ht="15" hidden="false" customHeight="true" outlineLevel="0" collapsed="false">
      <c r="A49" s="4" t="str">
        <f aca="false">Raw_Data!A49</f>
        <v>R048</v>
      </c>
      <c r="B49" s="4" t="n">
        <f aca="false">Raw_Data!B49</f>
        <v>49</v>
      </c>
      <c r="C49" s="4" t="str">
        <f aca="false">Raw_Data!C49</f>
        <v>Male</v>
      </c>
      <c r="D49" s="4" t="str">
        <f aca="false">Raw_Data!D49</f>
        <v>Ahmedabad</v>
      </c>
      <c r="E49" s="4" t="str">
        <f aca="false">Raw_Data!E49</f>
        <v>Salaried</v>
      </c>
      <c r="F49" s="4" t="n">
        <f aca="false">Raw_Data!F49</f>
        <v>0</v>
      </c>
      <c r="G49" s="4" t="str">
        <f aca="false">Raw_Data!G49</f>
        <v>Yes</v>
      </c>
      <c r="H49" s="4" t="str">
        <f aca="false">Raw_Data!H49</f>
        <v>Google Pay</v>
      </c>
      <c r="I49" s="4" t="str">
        <f aca="false">Raw_Data!I49</f>
        <v>Weekly</v>
      </c>
      <c r="J49" s="4" t="n">
        <f aca="false">Raw_Data!J49</f>
        <v>26681</v>
      </c>
      <c r="K49" s="4" t="str">
        <f aca="false">Raw_Data!K49</f>
        <v>Gifting</v>
      </c>
      <c r="L49" s="4" t="n">
        <f aca="false">Raw_Data!L49</f>
        <v>2</v>
      </c>
      <c r="M49" s="4" t="str">
        <f aca="false">Raw_Data!M49</f>
        <v>High</v>
      </c>
      <c r="N49" s="4" t="str">
        <f aca="false">Raw_Data!N49</f>
        <v>Digital Gold</v>
      </c>
      <c r="O49" s="4" t="n">
        <f aca="false">Raw_Data!O49</f>
        <v>4</v>
      </c>
      <c r="P49" s="4" t="n">
        <f aca="false">Raw_Data!P49</f>
        <v>2</v>
      </c>
      <c r="Q49" s="4" t="str">
        <f aca="false">IF(OR(B49="",B49=0),"Unknown",IF(B49&lt;=25,"18-25",IF(B49&lt;=35,"26-35",IF(B49&lt;=45,"36-45","46+"))))</f>
        <v>46+</v>
      </c>
      <c r="R49" s="4" t="n">
        <f aca="false">IF(F49="Below 20,000",10000,IF(F49="20,000-40,000",30000,IF(F49="40,000-60,000",50000,IF(F49="60,000-80,000",70000,IF(F49="Above 80,000",100000,0)))))</f>
        <v>0</v>
      </c>
      <c r="S49" s="4" t="n">
        <f aca="false">IF(G49="Yes",1,0)</f>
        <v>1</v>
      </c>
    </row>
    <row r="50" customFormat="false" ht="15" hidden="false" customHeight="true" outlineLevel="0" collapsed="false">
      <c r="A50" s="3" t="str">
        <f aca="false">Raw_Data!A50</f>
        <v>R049</v>
      </c>
      <c r="B50" s="3" t="n">
        <f aca="false">Raw_Data!B50</f>
        <v>45</v>
      </c>
      <c r="C50" s="3" t="str">
        <f aca="false">Raw_Data!C50</f>
        <v>Female</v>
      </c>
      <c r="D50" s="3" t="str">
        <f aca="false">Raw_Data!D50</f>
        <v>Mumbai</v>
      </c>
      <c r="E50" s="3" t="str">
        <f aca="false">Raw_Data!E50</f>
        <v>Homemaker</v>
      </c>
      <c r="F50" s="3" t="str">
        <f aca="false">Raw_Data!F50</f>
        <v>20,000-40,000</v>
      </c>
      <c r="G50" s="3" t="str">
        <f aca="false">Raw_Data!G50</f>
        <v>Yes</v>
      </c>
      <c r="H50" s="3" t="str">
        <f aca="false">Raw_Data!H50</f>
        <v>Groww</v>
      </c>
      <c r="I50" s="3" t="str">
        <f aca="false">Raw_Data!I50</f>
        <v>Monthly</v>
      </c>
      <c r="J50" s="3" t="n">
        <f aca="false">Raw_Data!J50</f>
        <v>1521</v>
      </c>
      <c r="K50" s="3" t="str">
        <f aca="false">Raw_Data!K50</f>
        <v>Savings</v>
      </c>
      <c r="L50" s="3" t="n">
        <f aca="false">Raw_Data!L50</f>
        <v>4</v>
      </c>
      <c r="M50" s="3" t="str">
        <f aca="false">Raw_Data!M50</f>
        <v>Low</v>
      </c>
      <c r="N50" s="3" t="str">
        <f aca="false">Raw_Data!N50</f>
        <v>Physical Gold</v>
      </c>
      <c r="O50" s="3" t="n">
        <f aca="false">Raw_Data!O50</f>
        <v>2</v>
      </c>
      <c r="P50" s="3" t="n">
        <f aca="false">Raw_Data!P50</f>
        <v>3</v>
      </c>
      <c r="Q50" s="3" t="str">
        <f aca="false">IF(OR(B50="",B50=0),"Unknown",IF(B50&lt;=25,"18-25",IF(B50&lt;=35,"26-35",IF(B50&lt;=45,"36-45","46+"))))</f>
        <v>36-45</v>
      </c>
      <c r="R50" s="3" t="n">
        <f aca="false">IF(F50="Below 20,000",10000,IF(F50="20,000-40,000",30000,IF(F50="40,000-60,000",50000,IF(F50="60,000-80,000",70000,IF(F50="Above 80,000",100000,0)))))</f>
        <v>30000</v>
      </c>
      <c r="S50" s="3" t="n">
        <f aca="false">IF(G50="Yes",1,0)</f>
        <v>1</v>
      </c>
    </row>
    <row r="51" customFormat="false" ht="15" hidden="false" customHeight="true" outlineLevel="0" collapsed="false">
      <c r="A51" s="4" t="str">
        <f aca="false">Raw_Data!A51</f>
        <v>R050</v>
      </c>
      <c r="B51" s="4" t="n">
        <f aca="false">Raw_Data!B51</f>
        <v>30</v>
      </c>
      <c r="C51" s="4" t="str">
        <f aca="false">Raw_Data!C51</f>
        <v>Female</v>
      </c>
      <c r="D51" s="4" t="str">
        <f aca="false">Raw_Data!D51</f>
        <v>Chennai</v>
      </c>
      <c r="E51" s="4" t="str">
        <f aca="false">Raw_Data!E51</f>
        <v>Student</v>
      </c>
      <c r="F51" s="4" t="str">
        <f aca="false">Raw_Data!F51</f>
        <v>60,000-80,000</v>
      </c>
      <c r="G51" s="4" t="str">
        <f aca="false">Raw_Data!G51</f>
        <v>Yes</v>
      </c>
      <c r="H51" s="4" t="str">
        <f aca="false">Raw_Data!H51</f>
        <v>Groww</v>
      </c>
      <c r="I51" s="4" t="str">
        <f aca="false">Raw_Data!I51</f>
        <v>Monthly</v>
      </c>
      <c r="J51" s="4" t="n">
        <f aca="false">Raw_Data!J51</f>
        <v>7775</v>
      </c>
      <c r="K51" s="4" t="str">
        <f aca="false">Raw_Data!K51</f>
        <v>Investment</v>
      </c>
      <c r="L51" s="4" t="n">
        <f aca="false">Raw_Data!L51</f>
        <v>0</v>
      </c>
      <c r="M51" s="4" t="str">
        <f aca="false">Raw_Data!M51</f>
        <v>Low</v>
      </c>
      <c r="N51" s="4" t="str">
        <f aca="false">Raw_Data!N51</f>
        <v>Mutual Funds</v>
      </c>
      <c r="O51" s="4" t="n">
        <f aca="false">Raw_Data!O51</f>
        <v>4</v>
      </c>
      <c r="P51" s="4" t="n">
        <f aca="false">Raw_Data!P51</f>
        <v>5</v>
      </c>
      <c r="Q51" s="4" t="str">
        <f aca="false">IF(OR(B51="",B51=0),"Unknown",IF(B51&lt;=25,"18-25",IF(B51&lt;=35,"26-35",IF(B51&lt;=45,"36-45","46+"))))</f>
        <v>26-35</v>
      </c>
      <c r="R51" s="4" t="n">
        <f aca="false">IF(F51="Below 20,000",10000,IF(F51="20,000-40,000",30000,IF(F51="40,000-60,000",50000,IF(F51="60,000-80,000",70000,IF(F51="Above 80,000",100000,0)))))</f>
        <v>70000</v>
      </c>
      <c r="S51" s="4" t="n">
        <f aca="false">IF(G51="Yes",1,0)</f>
        <v>1</v>
      </c>
    </row>
    <row r="52" customFormat="false" ht="15" hidden="false" customHeight="true" outlineLevel="0" collapsed="false">
      <c r="A52" s="3" t="str">
        <f aca="false">Raw_Data!A52</f>
        <v>R051</v>
      </c>
      <c r="B52" s="3" t="n">
        <f aca="false">Raw_Data!B52</f>
        <v>60</v>
      </c>
      <c r="C52" s="3" t="str">
        <f aca="false">Raw_Data!C52</f>
        <v>Male</v>
      </c>
      <c r="D52" s="3" t="str">
        <f aca="false">Raw_Data!D52</f>
        <v>Ahmedabad</v>
      </c>
      <c r="E52" s="3" t="str">
        <f aca="false">Raw_Data!E52</f>
        <v>Salaried</v>
      </c>
      <c r="F52" s="3" t="str">
        <f aca="false">Raw_Data!F52</f>
        <v>40,000-60,000</v>
      </c>
      <c r="G52" s="3" t="str">
        <f aca="false">Raw_Data!G52</f>
        <v>No</v>
      </c>
      <c r="H52" s="3" t="n">
        <f aca="false">Raw_Data!H52</f>
        <v>0</v>
      </c>
      <c r="I52" s="3" t="n">
        <f aca="false">Raw_Data!I52</f>
        <v>0</v>
      </c>
      <c r="J52" s="3" t="n">
        <f aca="false">Raw_Data!J52</f>
        <v>0</v>
      </c>
      <c r="K52" s="3" t="n">
        <f aca="false">Raw_Data!K52</f>
        <v>0</v>
      </c>
      <c r="L52" s="3" t="n">
        <f aca="false">Raw_Data!L52</f>
        <v>2</v>
      </c>
      <c r="M52" s="3" t="str">
        <f aca="false">Raw_Data!M52</f>
        <v>Medium</v>
      </c>
      <c r="N52" s="3" t="str">
        <f aca="false">Raw_Data!N52</f>
        <v>Fixed Deposit</v>
      </c>
      <c r="O52" s="3" t="n">
        <f aca="false">Raw_Data!O52</f>
        <v>5</v>
      </c>
      <c r="P52" s="3" t="n">
        <f aca="false">Raw_Data!P52</f>
        <v>5</v>
      </c>
      <c r="Q52" s="3" t="str">
        <f aca="false">IF(OR(B52="",B52=0),"Unknown",IF(B52&lt;=25,"18-25",IF(B52&lt;=35,"26-35",IF(B52&lt;=45,"36-45","46+"))))</f>
        <v>46+</v>
      </c>
      <c r="R52" s="3" t="n">
        <f aca="false">IF(F52="Below 20,000",10000,IF(F52="20,000-40,000",30000,IF(F52="40,000-60,000",50000,IF(F52="60,000-80,000",70000,IF(F52="Above 80,000",100000,0)))))</f>
        <v>50000</v>
      </c>
      <c r="S52" s="3" t="n">
        <f aca="false">IF(G52="Yes",1,0)</f>
        <v>0</v>
      </c>
    </row>
    <row r="53" customFormat="false" ht="15" hidden="false" customHeight="true" outlineLevel="0" collapsed="false">
      <c r="A53" s="4" t="str">
        <f aca="false">Raw_Data!A53</f>
        <v>R052</v>
      </c>
      <c r="B53" s="4" t="n">
        <f aca="false">Raw_Data!B53</f>
        <v>19</v>
      </c>
      <c r="C53" s="4" t="str">
        <f aca="false">Raw_Data!C53</f>
        <v>Female</v>
      </c>
      <c r="D53" s="4" t="str">
        <f aca="false">Raw_Data!D53</f>
        <v>Pune</v>
      </c>
      <c r="E53" s="4" t="str">
        <f aca="false">Raw_Data!E53</f>
        <v>Freelancer</v>
      </c>
      <c r="F53" s="4" t="str">
        <f aca="false">Raw_Data!F53</f>
        <v>40,000-60,000</v>
      </c>
      <c r="G53" s="4" t="str">
        <f aca="false">Raw_Data!G53</f>
        <v>Yes</v>
      </c>
      <c r="H53" s="4" t="str">
        <f aca="false">Raw_Data!H53</f>
        <v>Others</v>
      </c>
      <c r="I53" s="4" t="str">
        <f aca="false">Raw_Data!I53</f>
        <v>Weekly</v>
      </c>
      <c r="J53" s="4" t="n">
        <f aca="false">Raw_Data!J53</f>
        <v>5354</v>
      </c>
      <c r="K53" s="4" t="str">
        <f aca="false">Raw_Data!K53</f>
        <v>Savings</v>
      </c>
      <c r="L53" s="4" t="n">
        <f aca="false">Raw_Data!L53</f>
        <v>4</v>
      </c>
      <c r="M53" s="4" t="str">
        <f aca="false">Raw_Data!M53</f>
        <v>Medium</v>
      </c>
      <c r="N53" s="4" t="str">
        <f aca="false">Raw_Data!N53</f>
        <v>Physical Gold</v>
      </c>
      <c r="O53" s="4" t="n">
        <f aca="false">Raw_Data!O53</f>
        <v>5</v>
      </c>
      <c r="P53" s="4" t="n">
        <f aca="false">Raw_Data!P53</f>
        <v>7</v>
      </c>
      <c r="Q53" s="4" t="str">
        <f aca="false">IF(OR(B53="",B53=0),"Unknown",IF(B53&lt;=25,"18-25",IF(B53&lt;=35,"26-35",IF(B53&lt;=45,"36-45","46+"))))</f>
        <v>18-25</v>
      </c>
      <c r="R53" s="4" t="n">
        <f aca="false">IF(F53="Below 20,000",10000,IF(F53="20,000-40,000",30000,IF(F53="40,000-60,000",50000,IF(F53="60,000-80,000",70000,IF(F53="Above 80,000",100000,0)))))</f>
        <v>50000</v>
      </c>
      <c r="S53" s="4" t="n">
        <f aca="false">IF(G53="Yes",1,0)</f>
        <v>1</v>
      </c>
    </row>
    <row r="54" customFormat="false" ht="15" hidden="false" customHeight="true" outlineLevel="0" collapsed="false">
      <c r="A54" s="3" t="str">
        <f aca="false">Raw_Data!A54</f>
        <v>R053</v>
      </c>
      <c r="B54" s="3" t="n">
        <f aca="false">Raw_Data!B54</f>
        <v>0</v>
      </c>
      <c r="C54" s="3" t="str">
        <f aca="false">Raw_Data!C54</f>
        <v>Male</v>
      </c>
      <c r="D54" s="3" t="str">
        <f aca="false">Raw_Data!D54</f>
        <v>Pune</v>
      </c>
      <c r="E54" s="3" t="str">
        <f aca="false">Raw_Data!E54</f>
        <v>Homemaker</v>
      </c>
      <c r="F54" s="3" t="str">
        <f aca="false">Raw_Data!F54</f>
        <v>60,000-80,000</v>
      </c>
      <c r="G54" s="3" t="str">
        <f aca="false">Raw_Data!G54</f>
        <v>No</v>
      </c>
      <c r="H54" s="3" t="n">
        <f aca="false">Raw_Data!H54</f>
        <v>0</v>
      </c>
      <c r="I54" s="3" t="n">
        <f aca="false">Raw_Data!I54</f>
        <v>0</v>
      </c>
      <c r="J54" s="3" t="n">
        <f aca="false">Raw_Data!J54</f>
        <v>0</v>
      </c>
      <c r="K54" s="3" t="n">
        <f aca="false">Raw_Data!K54</f>
        <v>0</v>
      </c>
      <c r="L54" s="3" t="n">
        <f aca="false">Raw_Data!L54</f>
        <v>2</v>
      </c>
      <c r="M54" s="3" t="str">
        <f aca="false">Raw_Data!M54</f>
        <v>Low</v>
      </c>
      <c r="N54" s="3" t="str">
        <f aca="false">Raw_Data!N54</f>
        <v>Digital Gold</v>
      </c>
      <c r="O54" s="3" t="n">
        <f aca="false">Raw_Data!O54</f>
        <v>3</v>
      </c>
      <c r="P54" s="3" t="n">
        <f aca="false">Raw_Data!P54</f>
        <v>4</v>
      </c>
      <c r="Q54" s="3" t="str">
        <f aca="false">IF(OR(B54="",B54=0),"Unknown",IF(B54&lt;=25,"18-25",IF(B54&lt;=35,"26-35",IF(B54&lt;=45,"36-45","46+"))))</f>
        <v>Unknown</v>
      </c>
      <c r="R54" s="3" t="n">
        <f aca="false">IF(F54="Below 20,000",10000,IF(F54="20,000-40,000",30000,IF(F54="40,000-60,000",50000,IF(F54="60,000-80,000",70000,IF(F54="Above 80,000",100000,0)))))</f>
        <v>70000</v>
      </c>
      <c r="S54" s="3" t="n">
        <f aca="false">IF(G54="Yes",1,0)</f>
        <v>0</v>
      </c>
    </row>
    <row r="55" customFormat="false" ht="15" hidden="false" customHeight="true" outlineLevel="0" collapsed="false">
      <c r="A55" s="4" t="str">
        <f aca="false">Raw_Data!A55</f>
        <v>R054</v>
      </c>
      <c r="B55" s="4" t="n">
        <f aca="false">Raw_Data!B55</f>
        <v>56</v>
      </c>
      <c r="C55" s="4" t="str">
        <f aca="false">Raw_Data!C55</f>
        <v>Male</v>
      </c>
      <c r="D55" s="4" t="str">
        <f aca="false">Raw_Data!D55</f>
        <v>Kolkata</v>
      </c>
      <c r="E55" s="4" t="str">
        <f aca="false">Raw_Data!E55</f>
        <v>Business</v>
      </c>
      <c r="F55" s="4" t="str">
        <f aca="false">Raw_Data!F55</f>
        <v>Below 20,000</v>
      </c>
      <c r="G55" s="4" t="str">
        <f aca="false">Raw_Data!G55</f>
        <v>No</v>
      </c>
      <c r="H55" s="4" t="n">
        <f aca="false">Raw_Data!H55</f>
        <v>0</v>
      </c>
      <c r="I55" s="4" t="n">
        <f aca="false">Raw_Data!I55</f>
        <v>0</v>
      </c>
      <c r="J55" s="4" t="n">
        <f aca="false">Raw_Data!J55</f>
        <v>0</v>
      </c>
      <c r="K55" s="4" t="n">
        <f aca="false">Raw_Data!K55</f>
        <v>0</v>
      </c>
      <c r="L55" s="4" t="n">
        <f aca="false">Raw_Data!L55</f>
        <v>3</v>
      </c>
      <c r="M55" s="4" t="str">
        <f aca="false">Raw_Data!M55</f>
        <v>Medium</v>
      </c>
      <c r="N55" s="4" t="str">
        <f aca="false">Raw_Data!N55</f>
        <v>Digital Gold</v>
      </c>
      <c r="O55" s="4" t="n">
        <f aca="false">Raw_Data!O55</f>
        <v>3</v>
      </c>
      <c r="P55" s="4" t="n">
        <f aca="false">Raw_Data!P55</f>
        <v>2</v>
      </c>
      <c r="Q55" s="4" t="str">
        <f aca="false">IF(OR(B55="",B55=0),"Unknown",IF(B55&lt;=25,"18-25",IF(B55&lt;=35,"26-35",IF(B55&lt;=45,"36-45","46+"))))</f>
        <v>46+</v>
      </c>
      <c r="R55" s="4" t="n">
        <f aca="false">IF(F55="Below 20,000",10000,IF(F55="20,000-40,000",30000,IF(F55="40,000-60,000",50000,IF(F55="60,000-80,000",70000,IF(F55="Above 80,000",100000,0)))))</f>
        <v>10000</v>
      </c>
      <c r="S55" s="4" t="n">
        <f aca="false">IF(G55="Yes",1,0)</f>
        <v>0</v>
      </c>
    </row>
    <row r="56" customFormat="false" ht="15" hidden="false" customHeight="true" outlineLevel="0" collapsed="false">
      <c r="A56" s="3" t="str">
        <f aca="false">Raw_Data!A56</f>
        <v>R055</v>
      </c>
      <c r="B56" s="3" t="n">
        <f aca="false">Raw_Data!B56</f>
        <v>47</v>
      </c>
      <c r="C56" s="3" t="str">
        <f aca="false">Raw_Data!C56</f>
        <v>Female</v>
      </c>
      <c r="D56" s="3" t="str">
        <f aca="false">Raw_Data!D56</f>
        <v>Hyderabad</v>
      </c>
      <c r="E56" s="3" t="str">
        <f aca="false">Raw_Data!E56</f>
        <v>Freelancer</v>
      </c>
      <c r="F56" s="3" t="str">
        <f aca="false">Raw_Data!F56</f>
        <v>Below 20,000</v>
      </c>
      <c r="G56" s="3" t="str">
        <f aca="false">Raw_Data!G56</f>
        <v>Yes</v>
      </c>
      <c r="H56" s="3" t="str">
        <f aca="false">Raw_Data!H56</f>
        <v>Others</v>
      </c>
      <c r="I56" s="3" t="str">
        <f aca="false">Raw_Data!I56</f>
        <v>Weekly</v>
      </c>
      <c r="J56" s="3" t="n">
        <f aca="false">Raw_Data!J56</f>
        <v>307</v>
      </c>
      <c r="K56" s="3" t="str">
        <f aca="false">Raw_Data!K56</f>
        <v>Gifting</v>
      </c>
      <c r="L56" s="3" t="n">
        <f aca="false">Raw_Data!L56</f>
        <v>4</v>
      </c>
      <c r="M56" s="3" t="str">
        <f aca="false">Raw_Data!M56</f>
        <v>Low</v>
      </c>
      <c r="N56" s="3" t="str">
        <f aca="false">Raw_Data!N56</f>
        <v>Digital Gold</v>
      </c>
      <c r="O56" s="3" t="n">
        <f aca="false">Raw_Data!O56</f>
        <v>4</v>
      </c>
      <c r="P56" s="3" t="n">
        <f aca="false">Raw_Data!P56</f>
        <v>3</v>
      </c>
      <c r="Q56" s="3" t="str">
        <f aca="false">IF(OR(B56="",B56=0),"Unknown",IF(B56&lt;=25,"18-25",IF(B56&lt;=35,"26-35",IF(B56&lt;=45,"36-45","46+"))))</f>
        <v>46+</v>
      </c>
      <c r="R56" s="3" t="n">
        <f aca="false">IF(F56="Below 20,000",10000,IF(F56="20,000-40,000",30000,IF(F56="40,000-60,000",50000,IF(F56="60,000-80,000",70000,IF(F56="Above 80,000",100000,0)))))</f>
        <v>10000</v>
      </c>
      <c r="S56" s="3" t="n">
        <f aca="false">IF(G56="Yes",1,0)</f>
        <v>1</v>
      </c>
    </row>
    <row r="57" customFormat="false" ht="15" hidden="false" customHeight="true" outlineLevel="0" collapsed="false">
      <c r="A57" s="4" t="str">
        <f aca="false">Raw_Data!A57</f>
        <v>R056</v>
      </c>
      <c r="B57" s="4" t="n">
        <f aca="false">Raw_Data!B57</f>
        <v>60</v>
      </c>
      <c r="C57" s="4" t="str">
        <f aca="false">Raw_Data!C57</f>
        <v>Female</v>
      </c>
      <c r="D57" s="4" t="str">
        <f aca="false">Raw_Data!D57</f>
        <v>Hyderabad</v>
      </c>
      <c r="E57" s="4" t="str">
        <f aca="false">Raw_Data!E57</f>
        <v>Government Employee</v>
      </c>
      <c r="F57" s="4" t="str">
        <f aca="false">Raw_Data!F57</f>
        <v>40,000-60,000</v>
      </c>
      <c r="G57" s="4" t="str">
        <f aca="false">Raw_Data!G57</f>
        <v>Yes</v>
      </c>
      <c r="H57" s="4" t="str">
        <f aca="false">Raw_Data!H57</f>
        <v>MMTC-PAMP</v>
      </c>
      <c r="I57" s="4" t="str">
        <f aca="false">Raw_Data!I57</f>
        <v>Daily</v>
      </c>
      <c r="J57" s="4" t="n">
        <f aca="false">Raw_Data!J57</f>
        <v>6490</v>
      </c>
      <c r="K57" s="4" t="str">
        <f aca="false">Raw_Data!K57</f>
        <v>Savings</v>
      </c>
      <c r="L57" s="4" t="n">
        <f aca="false">Raw_Data!L57</f>
        <v>5</v>
      </c>
      <c r="M57" s="4" t="str">
        <f aca="false">Raw_Data!M57</f>
        <v>High</v>
      </c>
      <c r="N57" s="4" t="str">
        <f aca="false">Raw_Data!N57</f>
        <v>Physical Gold</v>
      </c>
      <c r="O57" s="4" t="n">
        <f aca="false">Raw_Data!O57</f>
        <v>2</v>
      </c>
      <c r="P57" s="4" t="n">
        <f aca="false">Raw_Data!P57</f>
        <v>8</v>
      </c>
      <c r="Q57" s="4" t="str">
        <f aca="false">IF(OR(B57="",B57=0),"Unknown",IF(B57&lt;=25,"18-25",IF(B57&lt;=35,"26-35",IF(B57&lt;=45,"36-45","46+"))))</f>
        <v>46+</v>
      </c>
      <c r="R57" s="4" t="n">
        <f aca="false">IF(F57="Below 20,000",10000,IF(F57="20,000-40,000",30000,IF(F57="40,000-60,000",50000,IF(F57="60,000-80,000",70000,IF(F57="Above 80,000",100000,0)))))</f>
        <v>50000</v>
      </c>
      <c r="S57" s="4" t="n">
        <f aca="false">IF(G57="Yes",1,0)</f>
        <v>1</v>
      </c>
    </row>
    <row r="58" customFormat="false" ht="15" hidden="false" customHeight="true" outlineLevel="0" collapsed="false">
      <c r="A58" s="3" t="str">
        <f aca="false">Raw_Data!A58</f>
        <v>R057</v>
      </c>
      <c r="B58" s="3" t="n">
        <f aca="false">Raw_Data!B58</f>
        <v>30</v>
      </c>
      <c r="C58" s="3" t="str">
        <f aca="false">Raw_Data!C58</f>
        <v>Male</v>
      </c>
      <c r="D58" s="3" t="str">
        <f aca="false">Raw_Data!D58</f>
        <v>Jaipur</v>
      </c>
      <c r="E58" s="3" t="str">
        <f aca="false">Raw_Data!E58</f>
        <v>Freelancer</v>
      </c>
      <c r="F58" s="3" t="str">
        <f aca="false">Raw_Data!F58</f>
        <v>60,000-80,000</v>
      </c>
      <c r="G58" s="3" t="str">
        <f aca="false">Raw_Data!G58</f>
        <v>Yes</v>
      </c>
      <c r="H58" s="3" t="str">
        <f aca="false">Raw_Data!H58</f>
        <v>MMTC-PAMP</v>
      </c>
      <c r="I58" s="3" t="str">
        <f aca="false">Raw_Data!I58</f>
        <v>Rarely</v>
      </c>
      <c r="J58" s="3" t="n">
        <f aca="false">Raw_Data!J58</f>
        <v>7346</v>
      </c>
      <c r="K58" s="3" t="str">
        <f aca="false">Raw_Data!K58</f>
        <v>Gifting</v>
      </c>
      <c r="L58" s="3" t="n">
        <f aca="false">Raw_Data!L58</f>
        <v>3</v>
      </c>
      <c r="M58" s="3" t="str">
        <f aca="false">Raw_Data!M58</f>
        <v>Low</v>
      </c>
      <c r="N58" s="3" t="str">
        <f aca="false">Raw_Data!N58</f>
        <v>Digital Gold</v>
      </c>
      <c r="O58" s="3" t="n">
        <f aca="false">Raw_Data!O58</f>
        <v>1</v>
      </c>
      <c r="P58" s="3" t="n">
        <f aca="false">Raw_Data!P58</f>
        <v>7</v>
      </c>
      <c r="Q58" s="3" t="str">
        <f aca="false">IF(OR(B58="",B58=0),"Unknown",IF(B58&lt;=25,"18-25",IF(B58&lt;=35,"26-35",IF(B58&lt;=45,"36-45","46+"))))</f>
        <v>26-35</v>
      </c>
      <c r="R58" s="3" t="n">
        <f aca="false">IF(F58="Below 20,000",10000,IF(F58="20,000-40,000",30000,IF(F58="40,000-60,000",50000,IF(F58="60,000-80,000",70000,IF(F58="Above 80,000",100000,0)))))</f>
        <v>70000</v>
      </c>
      <c r="S58" s="3" t="n">
        <f aca="false">IF(G58="Yes",1,0)</f>
        <v>1</v>
      </c>
    </row>
    <row r="59" customFormat="false" ht="15" hidden="false" customHeight="true" outlineLevel="0" collapsed="false">
      <c r="A59" s="4" t="str">
        <f aca="false">Raw_Data!A59</f>
        <v>R058</v>
      </c>
      <c r="B59" s="4" t="n">
        <f aca="false">Raw_Data!B59</f>
        <v>51</v>
      </c>
      <c r="C59" s="4" t="str">
        <f aca="false">Raw_Data!C59</f>
        <v>Male</v>
      </c>
      <c r="D59" s="4" t="str">
        <f aca="false">Raw_Data!D59</f>
        <v>Mumbai</v>
      </c>
      <c r="E59" s="4" t="str">
        <f aca="false">Raw_Data!E59</f>
        <v>Salaried</v>
      </c>
      <c r="F59" s="4" t="str">
        <f aca="false">Raw_Data!F59</f>
        <v>20,000-40,000</v>
      </c>
      <c r="G59" s="4" t="str">
        <f aca="false">Raw_Data!G59</f>
        <v>Yes</v>
      </c>
      <c r="H59" s="4" t="str">
        <f aca="false">Raw_Data!H59</f>
        <v>Groww</v>
      </c>
      <c r="I59" s="4" t="str">
        <f aca="false">Raw_Data!I59</f>
        <v>Monthly</v>
      </c>
      <c r="J59" s="4" t="n">
        <f aca="false">Raw_Data!J59</f>
        <v>1394</v>
      </c>
      <c r="K59" s="4" t="str">
        <f aca="false">Raw_Data!K59</f>
        <v>Gifting</v>
      </c>
      <c r="L59" s="4" t="n">
        <f aca="false">Raw_Data!L59</f>
        <v>3</v>
      </c>
      <c r="M59" s="4" t="str">
        <f aca="false">Raw_Data!M59</f>
        <v>High</v>
      </c>
      <c r="N59" s="4" t="str">
        <f aca="false">Raw_Data!N59</f>
        <v>Mutual Funds</v>
      </c>
      <c r="O59" s="4" t="n">
        <f aca="false">Raw_Data!O59</f>
        <v>5</v>
      </c>
      <c r="P59" s="4" t="n">
        <f aca="false">Raw_Data!P59</f>
        <v>10</v>
      </c>
      <c r="Q59" s="4" t="str">
        <f aca="false">IF(OR(B59="",B59=0),"Unknown",IF(B59&lt;=25,"18-25",IF(B59&lt;=35,"26-35",IF(B59&lt;=45,"36-45","46+"))))</f>
        <v>46+</v>
      </c>
      <c r="R59" s="4" t="n">
        <f aca="false">IF(F59="Below 20,000",10000,IF(F59="20,000-40,000",30000,IF(F59="40,000-60,000",50000,IF(F59="60,000-80,000",70000,IF(F59="Above 80,000",100000,0)))))</f>
        <v>30000</v>
      </c>
      <c r="S59" s="4" t="n">
        <f aca="false">IF(G59="Yes",1,0)</f>
        <v>1</v>
      </c>
    </row>
    <row r="60" customFormat="false" ht="15" hidden="false" customHeight="true" outlineLevel="0" collapsed="false">
      <c r="A60" s="3" t="str">
        <f aca="false">Raw_Data!A60</f>
        <v>R059</v>
      </c>
      <c r="B60" s="3" t="n">
        <f aca="false">Raw_Data!B60</f>
        <v>25</v>
      </c>
      <c r="C60" s="3" t="str">
        <f aca="false">Raw_Data!C60</f>
        <v>Male</v>
      </c>
      <c r="D60" s="3" t="str">
        <f aca="false">Raw_Data!D60</f>
        <v>Ahmedabad</v>
      </c>
      <c r="E60" s="3" t="str">
        <f aca="false">Raw_Data!E60</f>
        <v>Freelancer</v>
      </c>
      <c r="F60" s="3" t="str">
        <f aca="false">Raw_Data!F60</f>
        <v>Above 80,000</v>
      </c>
      <c r="G60" s="3" t="str">
        <f aca="false">Raw_Data!G60</f>
        <v>No</v>
      </c>
      <c r="H60" s="3" t="n">
        <f aca="false">Raw_Data!H60</f>
        <v>0</v>
      </c>
      <c r="I60" s="3" t="n">
        <f aca="false">Raw_Data!I60</f>
        <v>0</v>
      </c>
      <c r="J60" s="3" t="n">
        <f aca="false">Raw_Data!J60</f>
        <v>0</v>
      </c>
      <c r="K60" s="3" t="n">
        <f aca="false">Raw_Data!K60</f>
        <v>0</v>
      </c>
      <c r="L60" s="3" t="n">
        <f aca="false">Raw_Data!L60</f>
        <v>1</v>
      </c>
      <c r="M60" s="3" t="str">
        <f aca="false">Raw_Data!M60</f>
        <v>Medium</v>
      </c>
      <c r="N60" s="3" t="str">
        <f aca="false">Raw_Data!N60</f>
        <v>Fixed Deposit</v>
      </c>
      <c r="O60" s="3" t="n">
        <f aca="false">Raw_Data!O60</f>
        <v>2</v>
      </c>
      <c r="P60" s="3" t="n">
        <f aca="false">Raw_Data!P60</f>
        <v>7</v>
      </c>
      <c r="Q60" s="3" t="str">
        <f aca="false">IF(OR(B60="",B60=0),"Unknown",IF(B60&lt;=25,"18-25",IF(B60&lt;=35,"26-35",IF(B60&lt;=45,"36-45","46+"))))</f>
        <v>18-25</v>
      </c>
      <c r="R60" s="3" t="n">
        <f aca="false">IF(F60="Below 20,000",10000,IF(F60="20,000-40,000",30000,IF(F60="40,000-60,000",50000,IF(F60="60,000-80,000",70000,IF(F60="Above 80,000",100000,0)))))</f>
        <v>100000</v>
      </c>
      <c r="S60" s="3" t="n">
        <f aca="false">IF(G60="Yes",1,0)</f>
        <v>0</v>
      </c>
    </row>
    <row r="61" customFormat="false" ht="15" hidden="false" customHeight="true" outlineLevel="0" collapsed="false">
      <c r="A61" s="4" t="str">
        <f aca="false">Raw_Data!A61</f>
        <v>R060</v>
      </c>
      <c r="B61" s="4" t="n">
        <f aca="false">Raw_Data!B61</f>
        <v>25</v>
      </c>
      <c r="C61" s="4" t="str">
        <f aca="false">Raw_Data!C61</f>
        <v>Female</v>
      </c>
      <c r="D61" s="4" t="str">
        <f aca="false">Raw_Data!D61</f>
        <v>Chennai</v>
      </c>
      <c r="E61" s="4" t="str">
        <f aca="false">Raw_Data!E61</f>
        <v>Government Employee</v>
      </c>
      <c r="F61" s="4" t="str">
        <f aca="false">Raw_Data!F61</f>
        <v>20,000-40,000</v>
      </c>
      <c r="G61" s="4" t="str">
        <f aca="false">Raw_Data!G61</f>
        <v>Yes</v>
      </c>
      <c r="H61" s="4" t="str">
        <f aca="false">Raw_Data!H61</f>
        <v>Google Pay</v>
      </c>
      <c r="I61" s="4" t="str">
        <f aca="false">Raw_Data!I61</f>
        <v>Monthly</v>
      </c>
      <c r="J61" s="4" t="n">
        <f aca="false">Raw_Data!J61</f>
        <v>2767</v>
      </c>
      <c r="K61" s="4" t="str">
        <f aca="false">Raw_Data!K61</f>
        <v>Investment</v>
      </c>
      <c r="L61" s="4" t="n">
        <f aca="false">Raw_Data!L61</f>
        <v>1</v>
      </c>
      <c r="M61" s="4" t="str">
        <f aca="false">Raw_Data!M61</f>
        <v>Low</v>
      </c>
      <c r="N61" s="4" t="str">
        <f aca="false">Raw_Data!N61</f>
        <v>Digital Gold</v>
      </c>
      <c r="O61" s="4" t="n">
        <f aca="false">Raw_Data!O61</f>
        <v>2</v>
      </c>
      <c r="P61" s="4" t="n">
        <f aca="false">Raw_Data!P61</f>
        <v>7</v>
      </c>
      <c r="Q61" s="4" t="str">
        <f aca="false">IF(OR(B61="",B61=0),"Unknown",IF(B61&lt;=25,"18-25",IF(B61&lt;=35,"26-35",IF(B61&lt;=45,"36-45","46+"))))</f>
        <v>18-25</v>
      </c>
      <c r="R61" s="4" t="n">
        <f aca="false">IF(F61="Below 20,000",10000,IF(F61="20,000-40,000",30000,IF(F61="40,000-60,000",50000,IF(F61="60,000-80,000",70000,IF(F61="Above 80,000",100000,0)))))</f>
        <v>30000</v>
      </c>
      <c r="S61" s="4" t="n">
        <f aca="false">IF(G61="Yes",1,0)</f>
        <v>1</v>
      </c>
    </row>
    <row r="62" customFormat="false" ht="15" hidden="false" customHeight="true" outlineLevel="0" collapsed="false">
      <c r="A62" s="3" t="str">
        <f aca="false">Raw_Data!A62</f>
        <v>R061</v>
      </c>
      <c r="B62" s="3" t="n">
        <f aca="false">Raw_Data!B62</f>
        <v>60</v>
      </c>
      <c r="C62" s="3" t="str">
        <f aca="false">Raw_Data!C62</f>
        <v>Male</v>
      </c>
      <c r="D62" s="3" t="str">
        <f aca="false">Raw_Data!D62</f>
        <v>Mumbai</v>
      </c>
      <c r="E62" s="3" t="str">
        <f aca="false">Raw_Data!E62</f>
        <v>Business</v>
      </c>
      <c r="F62" s="3" t="str">
        <f aca="false">Raw_Data!F62</f>
        <v>Above 80,000</v>
      </c>
      <c r="G62" s="3" t="str">
        <f aca="false">Raw_Data!G62</f>
        <v>Yes</v>
      </c>
      <c r="H62" s="3" t="str">
        <f aca="false">Raw_Data!H62</f>
        <v>Others</v>
      </c>
      <c r="I62" s="3" t="str">
        <f aca="false">Raw_Data!I62</f>
        <v>Monthly</v>
      </c>
      <c r="J62" s="3" t="n">
        <f aca="false">Raw_Data!J62</f>
        <v>9887</v>
      </c>
      <c r="K62" s="3" t="str">
        <f aca="false">Raw_Data!K62</f>
        <v>Savings</v>
      </c>
      <c r="L62" s="3" t="n">
        <f aca="false">Raw_Data!L62</f>
        <v>5</v>
      </c>
      <c r="M62" s="3" t="str">
        <f aca="false">Raw_Data!M62</f>
        <v>Medium</v>
      </c>
      <c r="N62" s="3" t="str">
        <f aca="false">Raw_Data!N62</f>
        <v>Digital Gold</v>
      </c>
      <c r="O62" s="3" t="n">
        <f aca="false">Raw_Data!O62</f>
        <v>2</v>
      </c>
      <c r="P62" s="3" t="n">
        <f aca="false">Raw_Data!P62</f>
        <v>4</v>
      </c>
      <c r="Q62" s="3" t="str">
        <f aca="false">IF(OR(B62="",B62=0),"Unknown",IF(B62&lt;=25,"18-25",IF(B62&lt;=35,"26-35",IF(B62&lt;=45,"36-45","46+"))))</f>
        <v>46+</v>
      </c>
      <c r="R62" s="3" t="n">
        <f aca="false">IF(F62="Below 20,000",10000,IF(F62="20,000-40,000",30000,IF(F62="40,000-60,000",50000,IF(F62="60,000-80,000",70000,IF(F62="Above 80,000",100000,0)))))</f>
        <v>100000</v>
      </c>
      <c r="S62" s="3" t="n">
        <f aca="false">IF(G62="Yes",1,0)</f>
        <v>1</v>
      </c>
    </row>
    <row r="63" customFormat="false" ht="15" hidden="false" customHeight="true" outlineLevel="0" collapsed="false">
      <c r="A63" s="4" t="str">
        <f aca="false">Raw_Data!A63</f>
        <v>R062</v>
      </c>
      <c r="B63" s="4" t="n">
        <f aca="false">Raw_Data!B63</f>
        <v>38</v>
      </c>
      <c r="C63" s="4" t="n">
        <f aca="false">Raw_Data!C63</f>
        <v>0</v>
      </c>
      <c r="D63" s="4" t="str">
        <f aca="false">Raw_Data!D63</f>
        <v>Ahmedabad</v>
      </c>
      <c r="E63" s="4" t="str">
        <f aca="false">Raw_Data!E63</f>
        <v>Freelancer</v>
      </c>
      <c r="F63" s="4" t="str">
        <f aca="false">Raw_Data!F63</f>
        <v>60,000-80,000</v>
      </c>
      <c r="G63" s="4" t="str">
        <f aca="false">Raw_Data!G63</f>
        <v>Yes</v>
      </c>
      <c r="H63" s="4" t="str">
        <f aca="false">Raw_Data!H63</f>
        <v>MMTC-PAMP</v>
      </c>
      <c r="I63" s="4" t="str">
        <f aca="false">Raw_Data!I63</f>
        <v>Rarely</v>
      </c>
      <c r="J63" s="4" t="n">
        <f aca="false">Raw_Data!J63</f>
        <v>12728</v>
      </c>
      <c r="K63" s="4" t="str">
        <f aca="false">Raw_Data!K63</f>
        <v>Savings</v>
      </c>
      <c r="L63" s="4" t="n">
        <f aca="false">Raw_Data!L63</f>
        <v>5</v>
      </c>
      <c r="M63" s="4" t="str">
        <f aca="false">Raw_Data!M63</f>
        <v>High</v>
      </c>
      <c r="N63" s="4" t="str">
        <f aca="false">Raw_Data!N63</f>
        <v>Digital Gold</v>
      </c>
      <c r="O63" s="4" t="n">
        <f aca="false">Raw_Data!O63</f>
        <v>1</v>
      </c>
      <c r="P63" s="4" t="n">
        <f aca="false">Raw_Data!P63</f>
        <v>9</v>
      </c>
      <c r="Q63" s="4" t="str">
        <f aca="false">IF(OR(B63="",B63=0),"Unknown",IF(B63&lt;=25,"18-25",IF(B63&lt;=35,"26-35",IF(B63&lt;=45,"36-45","46+"))))</f>
        <v>36-45</v>
      </c>
      <c r="R63" s="4" t="n">
        <f aca="false">IF(F63="Below 20,000",10000,IF(F63="20,000-40,000",30000,IF(F63="40,000-60,000",50000,IF(F63="60,000-80,000",70000,IF(F63="Above 80,000",100000,0)))))</f>
        <v>70000</v>
      </c>
      <c r="S63" s="4" t="n">
        <f aca="false">IF(G63="Yes",1,0)</f>
        <v>1</v>
      </c>
    </row>
    <row r="64" customFormat="false" ht="15" hidden="false" customHeight="true" outlineLevel="0" collapsed="false">
      <c r="A64" s="3" t="str">
        <f aca="false">Raw_Data!A64</f>
        <v>R063</v>
      </c>
      <c r="B64" s="3" t="n">
        <f aca="false">Raw_Data!B64</f>
        <v>33</v>
      </c>
      <c r="C64" s="3" t="str">
        <f aca="false">Raw_Data!C64</f>
        <v>Male</v>
      </c>
      <c r="D64" s="3" t="str">
        <f aca="false">Raw_Data!D64</f>
        <v>Hyderabad</v>
      </c>
      <c r="E64" s="3" t="str">
        <f aca="false">Raw_Data!E64</f>
        <v>Government Employee</v>
      </c>
      <c r="F64" s="3" t="str">
        <f aca="false">Raw_Data!F64</f>
        <v>60,000-80,000</v>
      </c>
      <c r="G64" s="3" t="str">
        <f aca="false">Raw_Data!G64</f>
        <v>Yes</v>
      </c>
      <c r="H64" s="3" t="str">
        <f aca="false">Raw_Data!H64</f>
        <v>Zerodha</v>
      </c>
      <c r="I64" s="3" t="str">
        <f aca="false">Raw_Data!I64</f>
        <v>Monthly</v>
      </c>
      <c r="J64" s="3" t="n">
        <f aca="false">Raw_Data!J64</f>
        <v>0</v>
      </c>
      <c r="K64" s="3" t="str">
        <f aca="false">Raw_Data!K64</f>
        <v>Investment</v>
      </c>
      <c r="L64" s="3" t="n">
        <f aca="false">Raw_Data!L64</f>
        <v>4</v>
      </c>
      <c r="M64" s="3" t="str">
        <f aca="false">Raw_Data!M64</f>
        <v>Medium</v>
      </c>
      <c r="N64" s="3" t="str">
        <f aca="false">Raw_Data!N64</f>
        <v>Digital Gold</v>
      </c>
      <c r="O64" s="3" t="n">
        <f aca="false">Raw_Data!O64</f>
        <v>1</v>
      </c>
      <c r="P64" s="3" t="n">
        <f aca="false">Raw_Data!P64</f>
        <v>7</v>
      </c>
      <c r="Q64" s="3" t="str">
        <f aca="false">IF(OR(B64="",B64=0),"Unknown",IF(B64&lt;=25,"18-25",IF(B64&lt;=35,"26-35",IF(B64&lt;=45,"36-45","46+"))))</f>
        <v>26-35</v>
      </c>
      <c r="R64" s="3" t="n">
        <f aca="false">IF(F64="Below 20,000",10000,IF(F64="20,000-40,000",30000,IF(F64="40,000-60,000",50000,IF(F64="60,000-80,000",70000,IF(F64="Above 80,000",100000,0)))))</f>
        <v>70000</v>
      </c>
      <c r="S64" s="3" t="n">
        <f aca="false">IF(G64="Yes",1,0)</f>
        <v>1</v>
      </c>
    </row>
    <row r="65" customFormat="false" ht="15" hidden="false" customHeight="true" outlineLevel="0" collapsed="false">
      <c r="A65" s="4" t="str">
        <f aca="false">Raw_Data!A65</f>
        <v>R064</v>
      </c>
      <c r="B65" s="4" t="n">
        <f aca="false">Raw_Data!B65</f>
        <v>25</v>
      </c>
      <c r="C65" s="4" t="str">
        <f aca="false">Raw_Data!C65</f>
        <v>Male</v>
      </c>
      <c r="D65" s="4" t="str">
        <f aca="false">Raw_Data!D65</f>
        <v>Jaipur</v>
      </c>
      <c r="E65" s="4" t="str">
        <f aca="false">Raw_Data!E65</f>
        <v>Student</v>
      </c>
      <c r="F65" s="4" t="str">
        <f aca="false">Raw_Data!F65</f>
        <v>40,000-60,000</v>
      </c>
      <c r="G65" s="4" t="str">
        <f aca="false">Raw_Data!G65</f>
        <v>Yes</v>
      </c>
      <c r="H65" s="4" t="str">
        <f aca="false">Raw_Data!H65</f>
        <v>PhonePe</v>
      </c>
      <c r="I65" s="4" t="str">
        <f aca="false">Raw_Data!I65</f>
        <v>Daily</v>
      </c>
      <c r="J65" s="4" t="n">
        <f aca="false">Raw_Data!J65</f>
        <v>0</v>
      </c>
      <c r="K65" s="4" t="str">
        <f aca="false">Raw_Data!K65</f>
        <v>Savings</v>
      </c>
      <c r="L65" s="4" t="n">
        <f aca="false">Raw_Data!L65</f>
        <v>4</v>
      </c>
      <c r="M65" s="4" t="str">
        <f aca="false">Raw_Data!M65</f>
        <v>Medium</v>
      </c>
      <c r="N65" s="4" t="str">
        <f aca="false">Raw_Data!N65</f>
        <v>Digital Gold</v>
      </c>
      <c r="O65" s="4" t="n">
        <f aca="false">Raw_Data!O65</f>
        <v>3</v>
      </c>
      <c r="P65" s="4" t="n">
        <f aca="false">Raw_Data!P65</f>
        <v>7</v>
      </c>
      <c r="Q65" s="4" t="str">
        <f aca="false">IF(OR(B65="",B65=0),"Unknown",IF(B65&lt;=25,"18-25",IF(B65&lt;=35,"26-35",IF(B65&lt;=45,"36-45","46+"))))</f>
        <v>18-25</v>
      </c>
      <c r="R65" s="4" t="n">
        <f aca="false">IF(F65="Below 20,000",10000,IF(F65="20,000-40,000",30000,IF(F65="40,000-60,000",50000,IF(F65="60,000-80,000",70000,IF(F65="Above 80,000",100000,0)))))</f>
        <v>50000</v>
      </c>
      <c r="S65" s="4" t="n">
        <f aca="false">IF(G65="Yes",1,0)</f>
        <v>1</v>
      </c>
    </row>
    <row r="66" customFormat="false" ht="15" hidden="false" customHeight="true" outlineLevel="0" collapsed="false">
      <c r="A66" s="3" t="str">
        <f aca="false">Raw_Data!A66</f>
        <v>R065</v>
      </c>
      <c r="B66" s="3" t="n">
        <f aca="false">Raw_Data!B66</f>
        <v>19</v>
      </c>
      <c r="C66" s="3" t="str">
        <f aca="false">Raw_Data!C66</f>
        <v>Female</v>
      </c>
      <c r="D66" s="3" t="str">
        <f aca="false">Raw_Data!D66</f>
        <v>Lucknow</v>
      </c>
      <c r="E66" s="3" t="str">
        <f aca="false">Raw_Data!E66</f>
        <v>Homemaker</v>
      </c>
      <c r="F66" s="3" t="str">
        <f aca="false">Raw_Data!F66</f>
        <v>Above 80,000</v>
      </c>
      <c r="G66" s="3" t="str">
        <f aca="false">Raw_Data!G66</f>
        <v>Yes</v>
      </c>
      <c r="H66" s="3" t="str">
        <f aca="false">Raw_Data!H66</f>
        <v>Paytm</v>
      </c>
      <c r="I66" s="3" t="str">
        <f aca="false">Raw_Data!I66</f>
        <v>Quarterly</v>
      </c>
      <c r="J66" s="3" t="n">
        <f aca="false">Raw_Data!J66</f>
        <v>27936</v>
      </c>
      <c r="K66" s="3" t="str">
        <f aca="false">Raw_Data!K66</f>
        <v>Investment</v>
      </c>
      <c r="L66" s="3" t="n">
        <f aca="false">Raw_Data!L66</f>
        <v>5</v>
      </c>
      <c r="M66" s="3" t="str">
        <f aca="false">Raw_Data!M66</f>
        <v>Low</v>
      </c>
      <c r="N66" s="3" t="str">
        <f aca="false">Raw_Data!N66</f>
        <v>Fixed Deposit</v>
      </c>
      <c r="O66" s="3" t="n">
        <f aca="false">Raw_Data!O66</f>
        <v>3</v>
      </c>
      <c r="P66" s="3" t="n">
        <f aca="false">Raw_Data!P66</f>
        <v>6</v>
      </c>
      <c r="Q66" s="3" t="str">
        <f aca="false">IF(OR(B66="",B66=0),"Unknown",IF(B66&lt;=25,"18-25",IF(B66&lt;=35,"26-35",IF(B66&lt;=45,"36-45","46+"))))</f>
        <v>18-25</v>
      </c>
      <c r="R66" s="3" t="n">
        <f aca="false">IF(F66="Below 20,000",10000,IF(F66="20,000-40,000",30000,IF(F66="40,000-60,000",50000,IF(F66="60,000-80,000",70000,IF(F66="Above 80,000",100000,0)))))</f>
        <v>100000</v>
      </c>
      <c r="S66" s="3" t="n">
        <f aca="false">IF(G66="Yes",1,0)</f>
        <v>1</v>
      </c>
    </row>
    <row r="67" customFormat="false" ht="15" hidden="false" customHeight="true" outlineLevel="0" collapsed="false">
      <c r="A67" s="4" t="str">
        <f aca="false">Raw_Data!A67</f>
        <v>R066</v>
      </c>
      <c r="B67" s="4" t="n">
        <f aca="false">Raw_Data!B67</f>
        <v>50</v>
      </c>
      <c r="C67" s="4" t="str">
        <f aca="false">Raw_Data!C67</f>
        <v>Female</v>
      </c>
      <c r="D67" s="4" t="str">
        <f aca="false">Raw_Data!D67</f>
        <v>Kolkata</v>
      </c>
      <c r="E67" s="4" t="str">
        <f aca="false">Raw_Data!E67</f>
        <v>Homemaker</v>
      </c>
      <c r="F67" s="4" t="str">
        <f aca="false">Raw_Data!F67</f>
        <v>Below 20,000</v>
      </c>
      <c r="G67" s="4" t="str">
        <f aca="false">Raw_Data!G67</f>
        <v>Yes</v>
      </c>
      <c r="H67" s="4" t="str">
        <f aca="false">Raw_Data!H67</f>
        <v>Zerodha</v>
      </c>
      <c r="I67" s="4" t="str">
        <f aca="false">Raw_Data!I67</f>
        <v>Monthly</v>
      </c>
      <c r="J67" s="4" t="n">
        <f aca="false">Raw_Data!J67</f>
        <v>598</v>
      </c>
      <c r="K67" s="4" t="str">
        <f aca="false">Raw_Data!K67</f>
        <v>Investment</v>
      </c>
      <c r="L67" s="4" t="n">
        <f aca="false">Raw_Data!L67</f>
        <v>5</v>
      </c>
      <c r="M67" s="4" t="str">
        <f aca="false">Raw_Data!M67</f>
        <v>Medium</v>
      </c>
      <c r="N67" s="4" t="str">
        <f aca="false">Raw_Data!N67</f>
        <v>Digital Gold</v>
      </c>
      <c r="O67" s="4" t="n">
        <f aca="false">Raw_Data!O67</f>
        <v>5</v>
      </c>
      <c r="P67" s="4" t="n">
        <f aca="false">Raw_Data!P67</f>
        <v>5</v>
      </c>
      <c r="Q67" s="4" t="str">
        <f aca="false">IF(OR(B67="",B67=0),"Unknown",IF(B67&lt;=25,"18-25",IF(B67&lt;=35,"26-35",IF(B67&lt;=45,"36-45","46+"))))</f>
        <v>46+</v>
      </c>
      <c r="R67" s="4" t="n">
        <f aca="false">IF(F67="Below 20,000",10000,IF(F67="20,000-40,000",30000,IF(F67="40,000-60,000",50000,IF(F67="60,000-80,000",70000,IF(F67="Above 80,000",100000,0)))))</f>
        <v>10000</v>
      </c>
      <c r="S67" s="4" t="n">
        <f aca="false">IF(G67="Yes",1,0)</f>
        <v>1</v>
      </c>
    </row>
    <row r="68" customFormat="false" ht="15" hidden="false" customHeight="true" outlineLevel="0" collapsed="false">
      <c r="A68" s="3" t="str">
        <f aca="false">Raw_Data!A68</f>
        <v>R067</v>
      </c>
      <c r="B68" s="3" t="n">
        <f aca="false">Raw_Data!B68</f>
        <v>18</v>
      </c>
      <c r="C68" s="3" t="str">
        <f aca="false">Raw_Data!C68</f>
        <v>Female</v>
      </c>
      <c r="D68" s="3" t="str">
        <f aca="false">Raw_Data!D68</f>
        <v>Pune</v>
      </c>
      <c r="E68" s="3" t="str">
        <f aca="false">Raw_Data!E68</f>
        <v>Student</v>
      </c>
      <c r="F68" s="3" t="str">
        <f aca="false">Raw_Data!F68</f>
        <v>Above 80,000</v>
      </c>
      <c r="G68" s="3" t="str">
        <f aca="false">Raw_Data!G68</f>
        <v>Yes</v>
      </c>
      <c r="H68" s="3" t="str">
        <f aca="false">Raw_Data!H68</f>
        <v>Google Pay</v>
      </c>
      <c r="I68" s="3" t="str">
        <f aca="false">Raw_Data!I68</f>
        <v>Daily</v>
      </c>
      <c r="J68" s="3" t="n">
        <f aca="false">Raw_Data!J68</f>
        <v>23347</v>
      </c>
      <c r="K68" s="3" t="str">
        <f aca="false">Raw_Data!K68</f>
        <v>Gifting</v>
      </c>
      <c r="L68" s="3" t="n">
        <f aca="false">Raw_Data!L68</f>
        <v>5</v>
      </c>
      <c r="M68" s="3" t="str">
        <f aca="false">Raw_Data!M68</f>
        <v>Medium</v>
      </c>
      <c r="N68" s="3" t="str">
        <f aca="false">Raw_Data!N68</f>
        <v>Digital Gold</v>
      </c>
      <c r="O68" s="3" t="n">
        <f aca="false">Raw_Data!O68</f>
        <v>5</v>
      </c>
      <c r="P68" s="3" t="n">
        <f aca="false">Raw_Data!P68</f>
        <v>7</v>
      </c>
      <c r="Q68" s="3" t="str">
        <f aca="false">IF(OR(B68="",B68=0),"Unknown",IF(B68&lt;=25,"18-25",IF(B68&lt;=35,"26-35",IF(B68&lt;=45,"36-45","46+"))))</f>
        <v>18-25</v>
      </c>
      <c r="R68" s="3" t="n">
        <f aca="false">IF(F68="Below 20,000",10000,IF(F68="20,000-40,000",30000,IF(F68="40,000-60,000",50000,IF(F68="60,000-80,000",70000,IF(F68="Above 80,000",100000,0)))))</f>
        <v>100000</v>
      </c>
      <c r="S68" s="3" t="n">
        <f aca="false">IF(G68="Yes",1,0)</f>
        <v>1</v>
      </c>
    </row>
    <row r="69" customFormat="false" ht="15" hidden="false" customHeight="true" outlineLevel="0" collapsed="false">
      <c r="A69" s="4" t="str">
        <f aca="false">Raw_Data!A69</f>
        <v>R068</v>
      </c>
      <c r="B69" s="4" t="n">
        <f aca="false">Raw_Data!B69</f>
        <v>40</v>
      </c>
      <c r="C69" s="4" t="str">
        <f aca="false">Raw_Data!C69</f>
        <v>Male</v>
      </c>
      <c r="D69" s="4" t="str">
        <f aca="false">Raw_Data!D69</f>
        <v>Chennai</v>
      </c>
      <c r="E69" s="4" t="str">
        <f aca="false">Raw_Data!E69</f>
        <v>Business</v>
      </c>
      <c r="F69" s="4" t="str">
        <f aca="false">Raw_Data!F69</f>
        <v>Below 20,000</v>
      </c>
      <c r="G69" s="4" t="str">
        <f aca="false">Raw_Data!G69</f>
        <v>Yes</v>
      </c>
      <c r="H69" s="4" t="str">
        <f aca="false">Raw_Data!H69</f>
        <v>PhonePe</v>
      </c>
      <c r="I69" s="4" t="str">
        <f aca="false">Raw_Data!I69</f>
        <v>Rarely</v>
      </c>
      <c r="J69" s="4" t="n">
        <f aca="false">Raw_Data!J69</f>
        <v>453</v>
      </c>
      <c r="K69" s="4" t="str">
        <f aca="false">Raw_Data!K69</f>
        <v>Savings</v>
      </c>
      <c r="L69" s="4" t="n">
        <f aca="false">Raw_Data!L69</f>
        <v>5</v>
      </c>
      <c r="M69" s="4" t="str">
        <f aca="false">Raw_Data!M69</f>
        <v>High</v>
      </c>
      <c r="N69" s="4" t="str">
        <f aca="false">Raw_Data!N69</f>
        <v>Digital Gold</v>
      </c>
      <c r="O69" s="4" t="n">
        <f aca="false">Raw_Data!O69</f>
        <v>5</v>
      </c>
      <c r="P69" s="4" t="n">
        <f aca="false">Raw_Data!P69</f>
        <v>3</v>
      </c>
      <c r="Q69" s="4" t="str">
        <f aca="false">IF(OR(B69="",B69=0),"Unknown",IF(B69&lt;=25,"18-25",IF(B69&lt;=35,"26-35",IF(B69&lt;=45,"36-45","46+"))))</f>
        <v>36-45</v>
      </c>
      <c r="R69" s="4" t="n">
        <f aca="false">IF(F69="Below 20,000",10000,IF(F69="20,000-40,000",30000,IF(F69="40,000-60,000",50000,IF(F69="60,000-80,000",70000,IF(F69="Above 80,000",100000,0)))))</f>
        <v>10000</v>
      </c>
      <c r="S69" s="4" t="n">
        <f aca="false">IF(G69="Yes",1,0)</f>
        <v>1</v>
      </c>
    </row>
    <row r="70" customFormat="false" ht="15" hidden="false" customHeight="true" outlineLevel="0" collapsed="false">
      <c r="A70" s="3" t="str">
        <f aca="false">Raw_Data!A70</f>
        <v>R069</v>
      </c>
      <c r="B70" s="3" t="n">
        <f aca="false">Raw_Data!B70</f>
        <v>60</v>
      </c>
      <c r="C70" s="3" t="str">
        <f aca="false">Raw_Data!C70</f>
        <v>Female</v>
      </c>
      <c r="D70" s="3" t="str">
        <f aca="false">Raw_Data!D70</f>
        <v>Ahmedabad</v>
      </c>
      <c r="E70" s="3" t="str">
        <f aca="false">Raw_Data!E70</f>
        <v>Student</v>
      </c>
      <c r="F70" s="3" t="str">
        <f aca="false">Raw_Data!F70</f>
        <v>20,000-40,000</v>
      </c>
      <c r="G70" s="3" t="str">
        <f aca="false">Raw_Data!G70</f>
        <v>Yes</v>
      </c>
      <c r="H70" s="3" t="str">
        <f aca="false">Raw_Data!H70</f>
        <v>MMTC-PAMP</v>
      </c>
      <c r="I70" s="3" t="n">
        <f aca="false">Raw_Data!I70</f>
        <v>0</v>
      </c>
      <c r="J70" s="3" t="n">
        <f aca="false">Raw_Data!J70</f>
        <v>3723</v>
      </c>
      <c r="K70" s="3" t="str">
        <f aca="false">Raw_Data!K70</f>
        <v>Savings</v>
      </c>
      <c r="L70" s="3" t="n">
        <f aca="false">Raw_Data!L70</f>
        <v>4</v>
      </c>
      <c r="M70" s="3" t="str">
        <f aca="false">Raw_Data!M70</f>
        <v>High</v>
      </c>
      <c r="N70" s="3" t="str">
        <f aca="false">Raw_Data!N70</f>
        <v>Digital Gold</v>
      </c>
      <c r="O70" s="3" t="n">
        <f aca="false">Raw_Data!O70</f>
        <v>1</v>
      </c>
      <c r="P70" s="3" t="n">
        <f aca="false">Raw_Data!P70</f>
        <v>1</v>
      </c>
      <c r="Q70" s="3" t="str">
        <f aca="false">IF(OR(B70="",B70=0),"Unknown",IF(B70&lt;=25,"18-25",IF(B70&lt;=35,"26-35",IF(B70&lt;=45,"36-45","46+"))))</f>
        <v>46+</v>
      </c>
      <c r="R70" s="3" t="n">
        <f aca="false">IF(F70="Below 20,000",10000,IF(F70="20,000-40,000",30000,IF(F70="40,000-60,000",50000,IF(F70="60,000-80,000",70000,IF(F70="Above 80,000",100000,0)))))</f>
        <v>30000</v>
      </c>
      <c r="S70" s="3" t="n">
        <f aca="false">IF(G70="Yes",1,0)</f>
        <v>1</v>
      </c>
    </row>
    <row r="71" customFormat="false" ht="15" hidden="false" customHeight="true" outlineLevel="0" collapsed="false">
      <c r="A71" s="4" t="str">
        <f aca="false">Raw_Data!A71</f>
        <v>R070</v>
      </c>
      <c r="B71" s="4" t="n">
        <f aca="false">Raw_Data!B71</f>
        <v>48</v>
      </c>
      <c r="C71" s="4" t="str">
        <f aca="false">Raw_Data!C71</f>
        <v>Male</v>
      </c>
      <c r="D71" s="4" t="str">
        <f aca="false">Raw_Data!D71</f>
        <v>Chennai</v>
      </c>
      <c r="E71" s="4" t="str">
        <f aca="false">Raw_Data!E71</f>
        <v>Freelancer</v>
      </c>
      <c r="F71" s="4" t="n">
        <f aca="false">Raw_Data!F71</f>
        <v>0</v>
      </c>
      <c r="G71" s="4" t="str">
        <f aca="false">Raw_Data!G71</f>
        <v>Yes</v>
      </c>
      <c r="H71" s="4" t="str">
        <f aca="false">Raw_Data!H71</f>
        <v>Others</v>
      </c>
      <c r="I71" s="4" t="str">
        <f aca="false">Raw_Data!I71</f>
        <v>Quarterly</v>
      </c>
      <c r="J71" s="4" t="n">
        <f aca="false">Raw_Data!J71</f>
        <v>3398</v>
      </c>
      <c r="K71" s="4" t="str">
        <f aca="false">Raw_Data!K71</f>
        <v>Investment</v>
      </c>
      <c r="L71" s="4" t="n">
        <f aca="false">Raw_Data!L71</f>
        <v>3</v>
      </c>
      <c r="M71" s="4" t="str">
        <f aca="false">Raw_Data!M71</f>
        <v>Medium</v>
      </c>
      <c r="N71" s="4" t="str">
        <f aca="false">Raw_Data!N71</f>
        <v>Physical Gold</v>
      </c>
      <c r="O71" s="4" t="n">
        <f aca="false">Raw_Data!O71</f>
        <v>1</v>
      </c>
      <c r="P71" s="4" t="n">
        <f aca="false">Raw_Data!P71</f>
        <v>4</v>
      </c>
      <c r="Q71" s="4" t="str">
        <f aca="false">IF(OR(B71="",B71=0),"Unknown",IF(B71&lt;=25,"18-25",IF(B71&lt;=35,"26-35",IF(B71&lt;=45,"36-45","46+"))))</f>
        <v>46+</v>
      </c>
      <c r="R71" s="4" t="n">
        <f aca="false">IF(F71="Below 20,000",10000,IF(F71="20,000-40,000",30000,IF(F71="40,000-60,000",50000,IF(F71="60,000-80,000",70000,IF(F71="Above 80,000",100000,0)))))</f>
        <v>0</v>
      </c>
      <c r="S71" s="4" t="n">
        <f aca="false">IF(G71="Yes",1,0)</f>
        <v>1</v>
      </c>
    </row>
    <row r="72" customFormat="false" ht="15" hidden="false" customHeight="true" outlineLevel="0" collapsed="false">
      <c r="A72" s="3" t="str">
        <f aca="false">Raw_Data!A72</f>
        <v>R071</v>
      </c>
      <c r="B72" s="3" t="n">
        <f aca="false">Raw_Data!B72</f>
        <v>56</v>
      </c>
      <c r="C72" s="3" t="str">
        <f aca="false">Raw_Data!C72</f>
        <v>Male</v>
      </c>
      <c r="D72" s="3" t="str">
        <f aca="false">Raw_Data!D72</f>
        <v>Lucknow</v>
      </c>
      <c r="E72" s="3" t="str">
        <f aca="false">Raw_Data!E72</f>
        <v>Homemaker</v>
      </c>
      <c r="F72" s="3" t="str">
        <f aca="false">Raw_Data!F72</f>
        <v>Above 80,000</v>
      </c>
      <c r="G72" s="3" t="str">
        <f aca="false">Raw_Data!G72</f>
        <v>No</v>
      </c>
      <c r="H72" s="3" t="n">
        <f aca="false">Raw_Data!H72</f>
        <v>0</v>
      </c>
      <c r="I72" s="3" t="n">
        <f aca="false">Raw_Data!I72</f>
        <v>0</v>
      </c>
      <c r="J72" s="3" t="n">
        <f aca="false">Raw_Data!J72</f>
        <v>0</v>
      </c>
      <c r="K72" s="3" t="n">
        <f aca="false">Raw_Data!K72</f>
        <v>0</v>
      </c>
      <c r="L72" s="3" t="n">
        <f aca="false">Raw_Data!L72</f>
        <v>2</v>
      </c>
      <c r="M72" s="3" t="str">
        <f aca="false">Raw_Data!M72</f>
        <v>High</v>
      </c>
      <c r="N72" s="3" t="str">
        <f aca="false">Raw_Data!N72</f>
        <v>Digital Gold</v>
      </c>
      <c r="O72" s="3" t="n">
        <f aca="false">Raw_Data!O72</f>
        <v>3</v>
      </c>
      <c r="P72" s="3" t="n">
        <f aca="false">Raw_Data!P72</f>
        <v>4</v>
      </c>
      <c r="Q72" s="3" t="str">
        <f aca="false">IF(OR(B72="",B72=0),"Unknown",IF(B72&lt;=25,"18-25",IF(B72&lt;=35,"26-35",IF(B72&lt;=45,"36-45","46+"))))</f>
        <v>46+</v>
      </c>
      <c r="R72" s="3" t="n">
        <f aca="false">IF(F72="Below 20,000",10000,IF(F72="20,000-40,000",30000,IF(F72="40,000-60,000",50000,IF(F72="60,000-80,000",70000,IF(F72="Above 80,000",100000,0)))))</f>
        <v>100000</v>
      </c>
      <c r="S72" s="3" t="n">
        <f aca="false">IF(G72="Yes",1,0)</f>
        <v>0</v>
      </c>
    </row>
    <row r="73" customFormat="false" ht="15" hidden="false" customHeight="true" outlineLevel="0" collapsed="false">
      <c r="A73" s="4" t="str">
        <f aca="false">Raw_Data!A73</f>
        <v>R072</v>
      </c>
      <c r="B73" s="4" t="n">
        <f aca="false">Raw_Data!B73</f>
        <v>32</v>
      </c>
      <c r="C73" s="4" t="str">
        <f aca="false">Raw_Data!C73</f>
        <v>Female</v>
      </c>
      <c r="D73" s="4" t="str">
        <f aca="false">Raw_Data!D73</f>
        <v>Delhi</v>
      </c>
      <c r="E73" s="4" t="str">
        <f aca="false">Raw_Data!E73</f>
        <v>Freelancer</v>
      </c>
      <c r="F73" s="4" t="str">
        <f aca="false">Raw_Data!F73</f>
        <v>Below 20,000</v>
      </c>
      <c r="G73" s="4" t="str">
        <f aca="false">Raw_Data!G73</f>
        <v>No</v>
      </c>
      <c r="H73" s="4" t="n">
        <f aca="false">Raw_Data!H73</f>
        <v>0</v>
      </c>
      <c r="I73" s="4" t="n">
        <f aca="false">Raw_Data!I73</f>
        <v>0</v>
      </c>
      <c r="J73" s="4" t="n">
        <f aca="false">Raw_Data!J73</f>
        <v>0</v>
      </c>
      <c r="K73" s="4" t="n">
        <f aca="false">Raw_Data!K73</f>
        <v>0</v>
      </c>
      <c r="L73" s="4" t="n">
        <f aca="false">Raw_Data!L73</f>
        <v>1</v>
      </c>
      <c r="M73" s="4" t="str">
        <f aca="false">Raw_Data!M73</f>
        <v>High</v>
      </c>
      <c r="N73" s="4" t="str">
        <f aca="false">Raw_Data!N73</f>
        <v>Fixed Deposit</v>
      </c>
      <c r="O73" s="4" t="n">
        <f aca="false">Raw_Data!O73</f>
        <v>4</v>
      </c>
      <c r="P73" s="4" t="n">
        <f aca="false">Raw_Data!P73</f>
        <v>4</v>
      </c>
      <c r="Q73" s="4" t="str">
        <f aca="false">IF(OR(B73="",B73=0),"Unknown",IF(B73&lt;=25,"18-25",IF(B73&lt;=35,"26-35",IF(B73&lt;=45,"36-45","46+"))))</f>
        <v>26-35</v>
      </c>
      <c r="R73" s="4" t="n">
        <f aca="false">IF(F73="Below 20,000",10000,IF(F73="20,000-40,000",30000,IF(F73="40,000-60,000",50000,IF(F73="60,000-80,000",70000,IF(F73="Above 80,000",100000,0)))))</f>
        <v>10000</v>
      </c>
      <c r="S73" s="4" t="n">
        <f aca="false">IF(G73="Yes",1,0)</f>
        <v>0</v>
      </c>
    </row>
    <row r="74" customFormat="false" ht="15" hidden="false" customHeight="true" outlineLevel="0" collapsed="false">
      <c r="A74" s="3" t="str">
        <f aca="false">Raw_Data!A74</f>
        <v>R073</v>
      </c>
      <c r="B74" s="3" t="n">
        <f aca="false">Raw_Data!B74</f>
        <v>0</v>
      </c>
      <c r="C74" s="3" t="str">
        <f aca="false">Raw_Data!C74</f>
        <v>Male</v>
      </c>
      <c r="D74" s="3" t="str">
        <f aca="false">Raw_Data!D74</f>
        <v>Jaipur</v>
      </c>
      <c r="E74" s="3" t="str">
        <f aca="false">Raw_Data!E74</f>
        <v>Freelancer</v>
      </c>
      <c r="F74" s="3" t="str">
        <f aca="false">Raw_Data!F74</f>
        <v>Below 20,000</v>
      </c>
      <c r="G74" s="3" t="str">
        <f aca="false">Raw_Data!G74</f>
        <v>No</v>
      </c>
      <c r="H74" s="3" t="n">
        <f aca="false">Raw_Data!H74</f>
        <v>0</v>
      </c>
      <c r="I74" s="3" t="n">
        <f aca="false">Raw_Data!I74</f>
        <v>0</v>
      </c>
      <c r="J74" s="3" t="n">
        <f aca="false">Raw_Data!J74</f>
        <v>0</v>
      </c>
      <c r="K74" s="3" t="n">
        <f aca="false">Raw_Data!K74</f>
        <v>0</v>
      </c>
      <c r="L74" s="3" t="n">
        <f aca="false">Raw_Data!L74</f>
        <v>1</v>
      </c>
      <c r="M74" s="3" t="str">
        <f aca="false">Raw_Data!M74</f>
        <v>Medium</v>
      </c>
      <c r="N74" s="3" t="str">
        <f aca="false">Raw_Data!N74</f>
        <v>Mutual Funds</v>
      </c>
      <c r="O74" s="3" t="n">
        <f aca="false">Raw_Data!O74</f>
        <v>3</v>
      </c>
      <c r="P74" s="3" t="n">
        <f aca="false">Raw_Data!P74</f>
        <v>6</v>
      </c>
      <c r="Q74" s="3" t="str">
        <f aca="false">IF(OR(B74="",B74=0),"Unknown",IF(B74&lt;=25,"18-25",IF(B74&lt;=35,"26-35",IF(B74&lt;=45,"36-45","46+"))))</f>
        <v>Unknown</v>
      </c>
      <c r="R74" s="3" t="n">
        <f aca="false">IF(F74="Below 20,000",10000,IF(F74="20,000-40,000",30000,IF(F74="40,000-60,000",50000,IF(F74="60,000-80,000",70000,IF(F74="Above 80,000",100000,0)))))</f>
        <v>10000</v>
      </c>
      <c r="S74" s="3" t="n">
        <f aca="false">IF(G74="Yes",1,0)</f>
        <v>0</v>
      </c>
    </row>
    <row r="75" customFormat="false" ht="15" hidden="false" customHeight="true" outlineLevel="0" collapsed="false">
      <c r="A75" s="4" t="str">
        <f aca="false">Raw_Data!A75</f>
        <v>R074</v>
      </c>
      <c r="B75" s="4" t="n">
        <f aca="false">Raw_Data!B75</f>
        <v>52</v>
      </c>
      <c r="C75" s="4" t="str">
        <f aca="false">Raw_Data!C75</f>
        <v>Female</v>
      </c>
      <c r="D75" s="4" t="str">
        <f aca="false">Raw_Data!D75</f>
        <v>Hyderabad</v>
      </c>
      <c r="E75" s="4" t="str">
        <f aca="false">Raw_Data!E75</f>
        <v>Homemaker</v>
      </c>
      <c r="F75" s="4" t="str">
        <f aca="false">Raw_Data!F75</f>
        <v>60,000-80,000</v>
      </c>
      <c r="G75" s="4" t="str">
        <f aca="false">Raw_Data!G75</f>
        <v>Yes</v>
      </c>
      <c r="H75" s="4" t="str">
        <f aca="false">Raw_Data!H75</f>
        <v>Google Pay</v>
      </c>
      <c r="I75" s="4" t="str">
        <f aca="false">Raw_Data!I75</f>
        <v>Weekly</v>
      </c>
      <c r="J75" s="4" t="n">
        <f aca="false">Raw_Data!J75</f>
        <v>3389</v>
      </c>
      <c r="K75" s="4" t="str">
        <f aca="false">Raw_Data!K75</f>
        <v>Investment</v>
      </c>
      <c r="L75" s="4" t="n">
        <f aca="false">Raw_Data!L75</f>
        <v>3</v>
      </c>
      <c r="M75" s="4" t="str">
        <f aca="false">Raw_Data!M75</f>
        <v>Low</v>
      </c>
      <c r="N75" s="4" t="str">
        <f aca="false">Raw_Data!N75</f>
        <v>Digital Gold</v>
      </c>
      <c r="O75" s="4" t="n">
        <f aca="false">Raw_Data!O75</f>
        <v>1</v>
      </c>
      <c r="P75" s="4" t="n">
        <f aca="false">Raw_Data!P75</f>
        <v>1</v>
      </c>
      <c r="Q75" s="4" t="str">
        <f aca="false">IF(OR(B75="",B75=0),"Unknown",IF(B75&lt;=25,"18-25",IF(B75&lt;=35,"26-35",IF(B75&lt;=45,"36-45","46+"))))</f>
        <v>46+</v>
      </c>
      <c r="R75" s="4" t="n">
        <f aca="false">IF(F75="Below 20,000",10000,IF(F75="20,000-40,000",30000,IF(F75="40,000-60,000",50000,IF(F75="60,000-80,000",70000,IF(F75="Above 80,000",100000,0)))))</f>
        <v>70000</v>
      </c>
      <c r="S75" s="4" t="n">
        <f aca="false">IF(G75="Yes",1,0)</f>
        <v>1</v>
      </c>
    </row>
    <row r="76" customFormat="false" ht="15" hidden="false" customHeight="true" outlineLevel="0" collapsed="false">
      <c r="A76" s="3" t="str">
        <f aca="false">Raw_Data!A76</f>
        <v>R075</v>
      </c>
      <c r="B76" s="3" t="n">
        <f aca="false">Raw_Data!B76</f>
        <v>0</v>
      </c>
      <c r="C76" s="3" t="str">
        <f aca="false">Raw_Data!C76</f>
        <v>Male</v>
      </c>
      <c r="D76" s="3" t="str">
        <f aca="false">Raw_Data!D76</f>
        <v>Lucknow</v>
      </c>
      <c r="E76" s="3" t="str">
        <f aca="false">Raw_Data!E76</f>
        <v>Salaried</v>
      </c>
      <c r="F76" s="3" t="str">
        <f aca="false">Raw_Data!F76</f>
        <v>60,000-80,000</v>
      </c>
      <c r="G76" s="3" t="str">
        <f aca="false">Raw_Data!G76</f>
        <v>Yes</v>
      </c>
      <c r="H76" s="3" t="str">
        <f aca="false">Raw_Data!H76</f>
        <v>Groww</v>
      </c>
      <c r="I76" s="3" t="str">
        <f aca="false">Raw_Data!I76</f>
        <v>Monthly</v>
      </c>
      <c r="J76" s="3" t="n">
        <f aca="false">Raw_Data!J76</f>
        <v>12267</v>
      </c>
      <c r="K76" s="3" t="str">
        <f aca="false">Raw_Data!K76</f>
        <v>Savings</v>
      </c>
      <c r="L76" s="3" t="n">
        <f aca="false">Raw_Data!L76</f>
        <v>3</v>
      </c>
      <c r="M76" s="3" t="str">
        <f aca="false">Raw_Data!M76</f>
        <v>Medium</v>
      </c>
      <c r="N76" s="3" t="str">
        <f aca="false">Raw_Data!N76</f>
        <v>Mutual Funds</v>
      </c>
      <c r="O76" s="3" t="n">
        <f aca="false">Raw_Data!O76</f>
        <v>2</v>
      </c>
      <c r="P76" s="3" t="n">
        <f aca="false">Raw_Data!P76</f>
        <v>1</v>
      </c>
      <c r="Q76" s="3" t="str">
        <f aca="false">IF(OR(B76="",B76=0),"Unknown",IF(B76&lt;=25,"18-25",IF(B76&lt;=35,"26-35",IF(B76&lt;=45,"36-45","46+"))))</f>
        <v>Unknown</v>
      </c>
      <c r="R76" s="3" t="n">
        <f aca="false">IF(F76="Below 20,000",10000,IF(F76="20,000-40,000",30000,IF(F76="40,000-60,000",50000,IF(F76="60,000-80,000",70000,IF(F76="Above 80,000",100000,0)))))</f>
        <v>70000</v>
      </c>
      <c r="S76" s="3" t="n">
        <f aca="false">IF(G76="Yes",1,0)</f>
        <v>1</v>
      </c>
    </row>
    <row r="77" customFormat="false" ht="15" hidden="false" customHeight="true" outlineLevel="0" collapsed="false">
      <c r="A77" s="4" t="str">
        <f aca="false">Raw_Data!A77</f>
        <v>R076</v>
      </c>
      <c r="B77" s="4" t="n">
        <f aca="false">Raw_Data!B77</f>
        <v>60</v>
      </c>
      <c r="C77" s="4" t="str">
        <f aca="false">Raw_Data!C77</f>
        <v>Female</v>
      </c>
      <c r="D77" s="4" t="str">
        <f aca="false">Raw_Data!D77</f>
        <v>Lucknow</v>
      </c>
      <c r="E77" s="4" t="str">
        <f aca="false">Raw_Data!E77</f>
        <v>Business</v>
      </c>
      <c r="F77" s="4" t="str">
        <f aca="false">Raw_Data!F77</f>
        <v>Above 80,000</v>
      </c>
      <c r="G77" s="4" t="str">
        <f aca="false">Raw_Data!G77</f>
        <v>No</v>
      </c>
      <c r="H77" s="4" t="n">
        <f aca="false">Raw_Data!H77</f>
        <v>0</v>
      </c>
      <c r="I77" s="4" t="n">
        <f aca="false">Raw_Data!I77</f>
        <v>0</v>
      </c>
      <c r="J77" s="4" t="n">
        <f aca="false">Raw_Data!J77</f>
        <v>0</v>
      </c>
      <c r="K77" s="4" t="n">
        <f aca="false">Raw_Data!K77</f>
        <v>0</v>
      </c>
      <c r="L77" s="4" t="n">
        <f aca="false">Raw_Data!L77</f>
        <v>1</v>
      </c>
      <c r="M77" s="4" t="str">
        <f aca="false">Raw_Data!M77</f>
        <v>High</v>
      </c>
      <c r="N77" s="4" t="str">
        <f aca="false">Raw_Data!N77</f>
        <v>Digital Gold</v>
      </c>
      <c r="O77" s="4" t="n">
        <f aca="false">Raw_Data!O77</f>
        <v>4</v>
      </c>
      <c r="P77" s="4" t="n">
        <f aca="false">Raw_Data!P77</f>
        <v>9</v>
      </c>
      <c r="Q77" s="4" t="str">
        <f aca="false">IF(OR(B77="",B77=0),"Unknown",IF(B77&lt;=25,"18-25",IF(B77&lt;=35,"26-35",IF(B77&lt;=45,"36-45","46+"))))</f>
        <v>46+</v>
      </c>
      <c r="R77" s="4" t="n">
        <f aca="false">IF(F77="Below 20,000",10000,IF(F77="20,000-40,000",30000,IF(F77="40,000-60,000",50000,IF(F77="60,000-80,000",70000,IF(F77="Above 80,000",100000,0)))))</f>
        <v>100000</v>
      </c>
      <c r="S77" s="4" t="n">
        <f aca="false">IF(G77="Yes",1,0)</f>
        <v>0</v>
      </c>
    </row>
    <row r="78" customFormat="false" ht="15" hidden="false" customHeight="true" outlineLevel="0" collapsed="false">
      <c r="A78" s="3" t="str">
        <f aca="false">Raw_Data!A78</f>
        <v>R077</v>
      </c>
      <c r="B78" s="3" t="n">
        <f aca="false">Raw_Data!B78</f>
        <v>36</v>
      </c>
      <c r="C78" s="3" t="str">
        <f aca="false">Raw_Data!C78</f>
        <v>Female</v>
      </c>
      <c r="D78" s="3" t="str">
        <f aca="false">Raw_Data!D78</f>
        <v>Delhi</v>
      </c>
      <c r="E78" s="3" t="str">
        <f aca="false">Raw_Data!E78</f>
        <v>Homemaker</v>
      </c>
      <c r="F78" s="3" t="str">
        <f aca="false">Raw_Data!F78</f>
        <v>Below 20,000</v>
      </c>
      <c r="G78" s="3" t="str">
        <f aca="false">Raw_Data!G78</f>
        <v>Yes</v>
      </c>
      <c r="H78" s="3" t="str">
        <f aca="false">Raw_Data!H78</f>
        <v>Zerodha</v>
      </c>
      <c r="I78" s="3" t="str">
        <f aca="false">Raw_Data!I78</f>
        <v>Rarely</v>
      </c>
      <c r="J78" s="3" t="n">
        <f aca="false">Raw_Data!J78</f>
        <v>359</v>
      </c>
      <c r="K78" s="3" t="str">
        <f aca="false">Raw_Data!K78</f>
        <v>Gifting</v>
      </c>
      <c r="L78" s="3" t="n">
        <f aca="false">Raw_Data!L78</f>
        <v>3</v>
      </c>
      <c r="M78" s="3" t="str">
        <f aca="false">Raw_Data!M78</f>
        <v>Medium</v>
      </c>
      <c r="N78" s="3" t="str">
        <f aca="false">Raw_Data!N78</f>
        <v>Digital Gold</v>
      </c>
      <c r="O78" s="3" t="n">
        <f aca="false">Raw_Data!O78</f>
        <v>5</v>
      </c>
      <c r="P78" s="3" t="n">
        <f aca="false">Raw_Data!P78</f>
        <v>9</v>
      </c>
      <c r="Q78" s="3" t="str">
        <f aca="false">IF(OR(B78="",B78=0),"Unknown",IF(B78&lt;=25,"18-25",IF(B78&lt;=35,"26-35",IF(B78&lt;=45,"36-45","46+"))))</f>
        <v>36-45</v>
      </c>
      <c r="R78" s="3" t="n">
        <f aca="false">IF(F78="Below 20,000",10000,IF(F78="20,000-40,000",30000,IF(F78="40,000-60,000",50000,IF(F78="60,000-80,000",70000,IF(F78="Above 80,000",100000,0)))))</f>
        <v>10000</v>
      </c>
      <c r="S78" s="3" t="n">
        <f aca="false">IF(G78="Yes",1,0)</f>
        <v>1</v>
      </c>
    </row>
    <row r="79" customFormat="false" ht="15" hidden="false" customHeight="true" outlineLevel="0" collapsed="false">
      <c r="A79" s="4" t="str">
        <f aca="false">Raw_Data!A79</f>
        <v>R078</v>
      </c>
      <c r="B79" s="4" t="n">
        <f aca="false">Raw_Data!B79</f>
        <v>26</v>
      </c>
      <c r="C79" s="4" t="str">
        <f aca="false">Raw_Data!C79</f>
        <v>Female</v>
      </c>
      <c r="D79" s="4" t="str">
        <f aca="false">Raw_Data!D79</f>
        <v>Pune</v>
      </c>
      <c r="E79" s="4" t="str">
        <f aca="false">Raw_Data!E79</f>
        <v>Business</v>
      </c>
      <c r="F79" s="4" t="str">
        <f aca="false">Raw_Data!F79</f>
        <v>20,000-40,000</v>
      </c>
      <c r="G79" s="4" t="str">
        <f aca="false">Raw_Data!G79</f>
        <v>Yes</v>
      </c>
      <c r="H79" s="4" t="str">
        <f aca="false">Raw_Data!H79</f>
        <v>Paytm</v>
      </c>
      <c r="I79" s="4" t="str">
        <f aca="false">Raw_Data!I79</f>
        <v>Quarterly</v>
      </c>
      <c r="J79" s="4" t="n">
        <f aca="false">Raw_Data!J79</f>
        <v>2369</v>
      </c>
      <c r="K79" s="4" t="str">
        <f aca="false">Raw_Data!K79</f>
        <v>Savings</v>
      </c>
      <c r="L79" s="4" t="n">
        <f aca="false">Raw_Data!L79</f>
        <v>2</v>
      </c>
      <c r="M79" s="4" t="str">
        <f aca="false">Raw_Data!M79</f>
        <v>High</v>
      </c>
      <c r="N79" s="4" t="str">
        <f aca="false">Raw_Data!N79</f>
        <v>Digital Gold</v>
      </c>
      <c r="O79" s="4" t="n">
        <f aca="false">Raw_Data!O79</f>
        <v>5</v>
      </c>
      <c r="P79" s="4" t="n">
        <f aca="false">Raw_Data!P79</f>
        <v>4</v>
      </c>
      <c r="Q79" s="4" t="str">
        <f aca="false">IF(OR(B79="",B79=0),"Unknown",IF(B79&lt;=25,"18-25",IF(B79&lt;=35,"26-35",IF(B79&lt;=45,"36-45","46+"))))</f>
        <v>26-35</v>
      </c>
      <c r="R79" s="4" t="n">
        <f aca="false">IF(F79="Below 20,000",10000,IF(F79="20,000-40,000",30000,IF(F79="40,000-60,000",50000,IF(F79="60,000-80,000",70000,IF(F79="Above 80,000",100000,0)))))</f>
        <v>30000</v>
      </c>
      <c r="S79" s="4" t="n">
        <f aca="false">IF(G79="Yes",1,0)</f>
        <v>1</v>
      </c>
    </row>
    <row r="80" customFormat="false" ht="15" hidden="false" customHeight="true" outlineLevel="0" collapsed="false">
      <c r="A80" s="3" t="str">
        <f aca="false">Raw_Data!A80</f>
        <v>R079</v>
      </c>
      <c r="B80" s="3" t="n">
        <f aca="false">Raw_Data!B80</f>
        <v>40</v>
      </c>
      <c r="C80" s="3" t="str">
        <f aca="false">Raw_Data!C80</f>
        <v>Male</v>
      </c>
      <c r="D80" s="3" t="str">
        <f aca="false">Raw_Data!D80</f>
        <v>Hyderabad</v>
      </c>
      <c r="E80" s="3" t="str">
        <f aca="false">Raw_Data!E80</f>
        <v>Student</v>
      </c>
      <c r="F80" s="3" t="str">
        <f aca="false">Raw_Data!F80</f>
        <v>40,000-60,000</v>
      </c>
      <c r="G80" s="3" t="str">
        <f aca="false">Raw_Data!G80</f>
        <v>No</v>
      </c>
      <c r="H80" s="3" t="n">
        <f aca="false">Raw_Data!H80</f>
        <v>0</v>
      </c>
      <c r="I80" s="3" t="n">
        <f aca="false">Raw_Data!I80</f>
        <v>0</v>
      </c>
      <c r="J80" s="3" t="n">
        <f aca="false">Raw_Data!J80</f>
        <v>0</v>
      </c>
      <c r="K80" s="3" t="n">
        <f aca="false">Raw_Data!K80</f>
        <v>0</v>
      </c>
      <c r="L80" s="3" t="n">
        <f aca="false">Raw_Data!L80</f>
        <v>1</v>
      </c>
      <c r="M80" s="3" t="str">
        <f aca="false">Raw_Data!M80</f>
        <v>Low</v>
      </c>
      <c r="N80" s="3" t="str">
        <f aca="false">Raw_Data!N80</f>
        <v>Digital Gold</v>
      </c>
      <c r="O80" s="3" t="n">
        <f aca="false">Raw_Data!O80</f>
        <v>2</v>
      </c>
      <c r="P80" s="3" t="n">
        <f aca="false">Raw_Data!P80</f>
        <v>7</v>
      </c>
      <c r="Q80" s="3" t="str">
        <f aca="false">IF(OR(B80="",B80=0),"Unknown",IF(B80&lt;=25,"18-25",IF(B80&lt;=35,"26-35",IF(B80&lt;=45,"36-45","46+"))))</f>
        <v>36-45</v>
      </c>
      <c r="R80" s="3" t="n">
        <f aca="false">IF(F80="Below 20,000",10000,IF(F80="20,000-40,000",30000,IF(F80="40,000-60,000",50000,IF(F80="60,000-80,000",70000,IF(F80="Above 80,000",100000,0)))))</f>
        <v>50000</v>
      </c>
      <c r="S80" s="3" t="n">
        <f aca="false">IF(G80="Yes",1,0)</f>
        <v>0</v>
      </c>
    </row>
    <row r="81" customFormat="false" ht="15" hidden="false" customHeight="true" outlineLevel="0" collapsed="false">
      <c r="A81" s="4" t="str">
        <f aca="false">Raw_Data!A81</f>
        <v>R080</v>
      </c>
      <c r="B81" s="4" t="n">
        <f aca="false">Raw_Data!B81</f>
        <v>27</v>
      </c>
      <c r="C81" s="4" t="str">
        <f aca="false">Raw_Data!C81</f>
        <v>Female</v>
      </c>
      <c r="D81" s="4" t="str">
        <f aca="false">Raw_Data!D81</f>
        <v>Bangalore</v>
      </c>
      <c r="E81" s="4" t="str">
        <f aca="false">Raw_Data!E81</f>
        <v>Business</v>
      </c>
      <c r="F81" s="4" t="str">
        <f aca="false">Raw_Data!F81</f>
        <v>20,000-40,000</v>
      </c>
      <c r="G81" s="4" t="str">
        <f aca="false">Raw_Data!G81</f>
        <v>No</v>
      </c>
      <c r="H81" s="4" t="n">
        <f aca="false">Raw_Data!H81</f>
        <v>0</v>
      </c>
      <c r="I81" s="4" t="n">
        <f aca="false">Raw_Data!I81</f>
        <v>0</v>
      </c>
      <c r="J81" s="4" t="n">
        <f aca="false">Raw_Data!J81</f>
        <v>0</v>
      </c>
      <c r="K81" s="4" t="n">
        <f aca="false">Raw_Data!K81</f>
        <v>0</v>
      </c>
      <c r="L81" s="4" t="n">
        <f aca="false">Raw_Data!L81</f>
        <v>1</v>
      </c>
      <c r="M81" s="4" t="str">
        <f aca="false">Raw_Data!M81</f>
        <v>Medium</v>
      </c>
      <c r="N81" s="4" t="str">
        <f aca="false">Raw_Data!N81</f>
        <v>Digital Gold</v>
      </c>
      <c r="O81" s="4" t="n">
        <f aca="false">Raw_Data!O81</f>
        <v>2</v>
      </c>
      <c r="P81" s="4" t="n">
        <f aca="false">Raw_Data!P81</f>
        <v>6</v>
      </c>
      <c r="Q81" s="4" t="str">
        <f aca="false">IF(OR(B81="",B81=0),"Unknown",IF(B81&lt;=25,"18-25",IF(B81&lt;=35,"26-35",IF(B81&lt;=45,"36-45","46+"))))</f>
        <v>26-35</v>
      </c>
      <c r="R81" s="4" t="n">
        <f aca="false">IF(F81="Below 20,000",10000,IF(F81="20,000-40,000",30000,IF(F81="40,000-60,000",50000,IF(F81="60,000-80,000",70000,IF(F81="Above 80,000",100000,0)))))</f>
        <v>30000</v>
      </c>
      <c r="S81" s="4" t="n">
        <f aca="false">IF(G81="Yes",1,0)</f>
        <v>0</v>
      </c>
    </row>
    <row r="82" customFormat="false" ht="15" hidden="false" customHeight="true" outlineLevel="0" collapsed="false">
      <c r="A82" s="3" t="str">
        <f aca="false">Raw_Data!A82</f>
        <v>R081</v>
      </c>
      <c r="B82" s="3" t="n">
        <f aca="false">Raw_Data!B82</f>
        <v>51</v>
      </c>
      <c r="C82" s="3" t="str">
        <f aca="false">Raw_Data!C82</f>
        <v>Male</v>
      </c>
      <c r="D82" s="3" t="str">
        <f aca="false">Raw_Data!D82</f>
        <v>Hyderabad</v>
      </c>
      <c r="E82" s="3" t="str">
        <f aca="false">Raw_Data!E82</f>
        <v>Student</v>
      </c>
      <c r="F82" s="3" t="str">
        <f aca="false">Raw_Data!F82</f>
        <v>40,000-60,000</v>
      </c>
      <c r="G82" s="3" t="str">
        <f aca="false">Raw_Data!G82</f>
        <v>Yes</v>
      </c>
      <c r="H82" s="3" t="str">
        <f aca="false">Raw_Data!H82</f>
        <v>Groww</v>
      </c>
      <c r="I82" s="3" t="str">
        <f aca="false">Raw_Data!I82</f>
        <v>Weekly</v>
      </c>
      <c r="J82" s="3" t="n">
        <f aca="false">Raw_Data!J82</f>
        <v>0</v>
      </c>
      <c r="K82" s="3" t="str">
        <f aca="false">Raw_Data!K82</f>
        <v>Gifting</v>
      </c>
      <c r="L82" s="3" t="n">
        <f aca="false">Raw_Data!L82</f>
        <v>3</v>
      </c>
      <c r="M82" s="3" t="str">
        <f aca="false">Raw_Data!M82</f>
        <v>Medium</v>
      </c>
      <c r="N82" s="3" t="str">
        <f aca="false">Raw_Data!N82</f>
        <v>Digital Gold</v>
      </c>
      <c r="O82" s="3" t="n">
        <f aca="false">Raw_Data!O82</f>
        <v>3</v>
      </c>
      <c r="P82" s="3" t="n">
        <f aca="false">Raw_Data!P82</f>
        <v>4</v>
      </c>
      <c r="Q82" s="3" t="str">
        <f aca="false">IF(OR(B82="",B82=0),"Unknown",IF(B82&lt;=25,"18-25",IF(B82&lt;=35,"26-35",IF(B82&lt;=45,"36-45","46+"))))</f>
        <v>46+</v>
      </c>
      <c r="R82" s="3" t="n">
        <f aca="false">IF(F82="Below 20,000",10000,IF(F82="20,000-40,000",30000,IF(F82="40,000-60,000",50000,IF(F82="60,000-80,000",70000,IF(F82="Above 80,000",100000,0)))))</f>
        <v>50000</v>
      </c>
      <c r="S82" s="3" t="n">
        <f aca="false">IF(G82="Yes",1,0)</f>
        <v>1</v>
      </c>
    </row>
    <row r="83" customFormat="false" ht="15" hidden="false" customHeight="true" outlineLevel="0" collapsed="false">
      <c r="A83" s="4" t="str">
        <f aca="false">Raw_Data!A83</f>
        <v>R082</v>
      </c>
      <c r="B83" s="4" t="n">
        <f aca="false">Raw_Data!B83</f>
        <v>43</v>
      </c>
      <c r="C83" s="4" t="str">
        <f aca="false">Raw_Data!C83</f>
        <v>Male</v>
      </c>
      <c r="D83" s="4" t="str">
        <f aca="false">Raw_Data!D83</f>
        <v>Jaipur</v>
      </c>
      <c r="E83" s="4" t="str">
        <f aca="false">Raw_Data!E83</f>
        <v>Salaried</v>
      </c>
      <c r="F83" s="4" t="str">
        <f aca="false">Raw_Data!F83</f>
        <v>20,000-40,000</v>
      </c>
      <c r="G83" s="4" t="str">
        <f aca="false">Raw_Data!G83</f>
        <v>Yes</v>
      </c>
      <c r="H83" s="4" t="str">
        <f aca="false">Raw_Data!H83</f>
        <v>PhonePe</v>
      </c>
      <c r="I83" s="4" t="str">
        <f aca="false">Raw_Data!I83</f>
        <v>Quarterly</v>
      </c>
      <c r="J83" s="4" t="n">
        <f aca="false">Raw_Data!J83</f>
        <v>2045</v>
      </c>
      <c r="K83" s="4" t="str">
        <f aca="false">Raw_Data!K83</f>
        <v>Investment</v>
      </c>
      <c r="L83" s="4" t="n">
        <f aca="false">Raw_Data!L83</f>
        <v>1</v>
      </c>
      <c r="M83" s="4" t="str">
        <f aca="false">Raw_Data!M83</f>
        <v>Medium</v>
      </c>
      <c r="N83" s="4" t="str">
        <f aca="false">Raw_Data!N83</f>
        <v>Digital Gold</v>
      </c>
      <c r="O83" s="4" t="n">
        <f aca="false">Raw_Data!O83</f>
        <v>5</v>
      </c>
      <c r="P83" s="4" t="n">
        <f aca="false">Raw_Data!P83</f>
        <v>2</v>
      </c>
      <c r="Q83" s="4" t="str">
        <f aca="false">IF(OR(B83="",B83=0),"Unknown",IF(B83&lt;=25,"18-25",IF(B83&lt;=35,"26-35",IF(B83&lt;=45,"36-45","46+"))))</f>
        <v>36-45</v>
      </c>
      <c r="R83" s="4" t="n">
        <f aca="false">IF(F83="Below 20,000",10000,IF(F83="20,000-40,000",30000,IF(F83="40,000-60,000",50000,IF(F83="60,000-80,000",70000,IF(F83="Above 80,000",100000,0)))))</f>
        <v>30000</v>
      </c>
      <c r="S83" s="4" t="n">
        <f aca="false">IF(G83="Yes",1,0)</f>
        <v>1</v>
      </c>
    </row>
    <row r="84" customFormat="false" ht="15" hidden="false" customHeight="true" outlineLevel="0" collapsed="false">
      <c r="A84" s="3" t="str">
        <f aca="false">Raw_Data!A84</f>
        <v>R083</v>
      </c>
      <c r="B84" s="3" t="n">
        <f aca="false">Raw_Data!B84</f>
        <v>55</v>
      </c>
      <c r="C84" s="3" t="str">
        <f aca="false">Raw_Data!C84</f>
        <v>Male</v>
      </c>
      <c r="D84" s="3" t="str">
        <f aca="false">Raw_Data!D84</f>
        <v>Lucknow</v>
      </c>
      <c r="E84" s="3" t="str">
        <f aca="false">Raw_Data!E84</f>
        <v>Homemaker</v>
      </c>
      <c r="F84" s="3" t="str">
        <f aca="false">Raw_Data!F84</f>
        <v>60,000-80,000</v>
      </c>
      <c r="G84" s="3" t="str">
        <f aca="false">Raw_Data!G84</f>
        <v>No</v>
      </c>
      <c r="H84" s="3" t="n">
        <f aca="false">Raw_Data!H84</f>
        <v>0</v>
      </c>
      <c r="I84" s="3" t="n">
        <f aca="false">Raw_Data!I84</f>
        <v>0</v>
      </c>
      <c r="J84" s="3" t="n">
        <f aca="false">Raw_Data!J84</f>
        <v>0</v>
      </c>
      <c r="K84" s="3" t="n">
        <f aca="false">Raw_Data!K84</f>
        <v>0</v>
      </c>
      <c r="L84" s="3" t="n">
        <f aca="false">Raw_Data!L84</f>
        <v>2</v>
      </c>
      <c r="M84" s="3" t="str">
        <f aca="false">Raw_Data!M84</f>
        <v>Low</v>
      </c>
      <c r="N84" s="3" t="str">
        <f aca="false">Raw_Data!N84</f>
        <v>Digital Gold</v>
      </c>
      <c r="O84" s="3" t="n">
        <f aca="false">Raw_Data!O84</f>
        <v>2</v>
      </c>
      <c r="P84" s="3" t="n">
        <f aca="false">Raw_Data!P84</f>
        <v>8</v>
      </c>
      <c r="Q84" s="3" t="str">
        <f aca="false">IF(OR(B84="",B84=0),"Unknown",IF(B84&lt;=25,"18-25",IF(B84&lt;=35,"26-35",IF(B84&lt;=45,"36-45","46+"))))</f>
        <v>46+</v>
      </c>
      <c r="R84" s="3" t="n">
        <f aca="false">IF(F84="Below 20,000",10000,IF(F84="20,000-40,000",30000,IF(F84="40,000-60,000",50000,IF(F84="60,000-80,000",70000,IF(F84="Above 80,000",100000,0)))))</f>
        <v>70000</v>
      </c>
      <c r="S84" s="3" t="n">
        <f aca="false">IF(G84="Yes",1,0)</f>
        <v>0</v>
      </c>
    </row>
    <row r="85" customFormat="false" ht="15" hidden="false" customHeight="true" outlineLevel="0" collapsed="false">
      <c r="A85" s="4" t="str">
        <f aca="false">Raw_Data!A85</f>
        <v>R084</v>
      </c>
      <c r="B85" s="4" t="n">
        <f aca="false">Raw_Data!B85</f>
        <v>0</v>
      </c>
      <c r="C85" s="4" t="str">
        <f aca="false">Raw_Data!C85</f>
        <v>Male</v>
      </c>
      <c r="D85" s="4" t="str">
        <f aca="false">Raw_Data!D85</f>
        <v>Ahmedabad</v>
      </c>
      <c r="E85" s="4" t="str">
        <f aca="false">Raw_Data!E85</f>
        <v>Business</v>
      </c>
      <c r="F85" s="4" t="str">
        <f aca="false">Raw_Data!F85</f>
        <v>40,000-60,000</v>
      </c>
      <c r="G85" s="4" t="str">
        <f aca="false">Raw_Data!G85</f>
        <v>Yes</v>
      </c>
      <c r="H85" s="4" t="str">
        <f aca="false">Raw_Data!H85</f>
        <v>Paytm</v>
      </c>
      <c r="I85" s="4" t="str">
        <f aca="false">Raw_Data!I85</f>
        <v>Weekly</v>
      </c>
      <c r="J85" s="4" t="n">
        <f aca="false">Raw_Data!J85</f>
        <v>2923</v>
      </c>
      <c r="K85" s="4" t="str">
        <f aca="false">Raw_Data!K85</f>
        <v>Savings</v>
      </c>
      <c r="L85" s="4" t="n">
        <f aca="false">Raw_Data!L85</f>
        <v>1</v>
      </c>
      <c r="M85" s="4" t="str">
        <f aca="false">Raw_Data!M85</f>
        <v>Low</v>
      </c>
      <c r="N85" s="4" t="str">
        <f aca="false">Raw_Data!N85</f>
        <v>Digital Gold</v>
      </c>
      <c r="O85" s="4" t="n">
        <f aca="false">Raw_Data!O85</f>
        <v>4</v>
      </c>
      <c r="P85" s="4" t="n">
        <f aca="false">Raw_Data!P85</f>
        <v>8</v>
      </c>
      <c r="Q85" s="4" t="str">
        <f aca="false">IF(OR(B85="",B85=0),"Unknown",IF(B85&lt;=25,"18-25",IF(B85&lt;=35,"26-35",IF(B85&lt;=45,"36-45","46+"))))</f>
        <v>Unknown</v>
      </c>
      <c r="R85" s="4" t="n">
        <f aca="false">IF(F85="Below 20,000",10000,IF(F85="20,000-40,000",30000,IF(F85="40,000-60,000",50000,IF(F85="60,000-80,000",70000,IF(F85="Above 80,000",100000,0)))))</f>
        <v>50000</v>
      </c>
      <c r="S85" s="4" t="n">
        <f aca="false">IF(G85="Yes",1,0)</f>
        <v>1</v>
      </c>
    </row>
    <row r="86" customFormat="false" ht="15" hidden="false" customHeight="true" outlineLevel="0" collapsed="false">
      <c r="A86" s="3" t="str">
        <f aca="false">Raw_Data!A86</f>
        <v>R085</v>
      </c>
      <c r="B86" s="3" t="n">
        <f aca="false">Raw_Data!B86</f>
        <v>43</v>
      </c>
      <c r="C86" s="3" t="str">
        <f aca="false">Raw_Data!C86</f>
        <v>Male</v>
      </c>
      <c r="D86" s="3" t="str">
        <f aca="false">Raw_Data!D86</f>
        <v>Kolkata</v>
      </c>
      <c r="E86" s="3" t="str">
        <f aca="false">Raw_Data!E86</f>
        <v>Salaried</v>
      </c>
      <c r="F86" s="3" t="str">
        <f aca="false">Raw_Data!F86</f>
        <v>60,000-80,000</v>
      </c>
      <c r="G86" s="3" t="str">
        <f aca="false">Raw_Data!G86</f>
        <v>No</v>
      </c>
      <c r="H86" s="3" t="n">
        <f aca="false">Raw_Data!H86</f>
        <v>0</v>
      </c>
      <c r="I86" s="3" t="n">
        <f aca="false">Raw_Data!I86</f>
        <v>0</v>
      </c>
      <c r="J86" s="3" t="n">
        <f aca="false">Raw_Data!J86</f>
        <v>0</v>
      </c>
      <c r="K86" s="3" t="n">
        <f aca="false">Raw_Data!K86</f>
        <v>0</v>
      </c>
      <c r="L86" s="3" t="n">
        <f aca="false">Raw_Data!L86</f>
        <v>3</v>
      </c>
      <c r="M86" s="3" t="str">
        <f aca="false">Raw_Data!M86</f>
        <v>High</v>
      </c>
      <c r="N86" s="3" t="str">
        <f aca="false">Raw_Data!N86</f>
        <v>Digital Gold</v>
      </c>
      <c r="O86" s="3" t="n">
        <f aca="false">Raw_Data!O86</f>
        <v>2</v>
      </c>
      <c r="P86" s="3" t="n">
        <f aca="false">Raw_Data!P86</f>
        <v>7</v>
      </c>
      <c r="Q86" s="3" t="str">
        <f aca="false">IF(OR(B86="",B86=0),"Unknown",IF(B86&lt;=25,"18-25",IF(B86&lt;=35,"26-35",IF(B86&lt;=45,"36-45","46+"))))</f>
        <v>36-45</v>
      </c>
      <c r="R86" s="3" t="n">
        <f aca="false">IF(F86="Below 20,000",10000,IF(F86="20,000-40,000",30000,IF(F86="40,000-60,000",50000,IF(F86="60,000-80,000",70000,IF(F86="Above 80,000",100000,0)))))</f>
        <v>70000</v>
      </c>
      <c r="S86" s="3" t="n">
        <f aca="false">IF(G86="Yes",1,0)</f>
        <v>0</v>
      </c>
    </row>
    <row r="87" customFormat="false" ht="15" hidden="false" customHeight="true" outlineLevel="0" collapsed="false">
      <c r="A87" s="4" t="str">
        <f aca="false">Raw_Data!A87</f>
        <v>R086</v>
      </c>
      <c r="B87" s="4" t="n">
        <f aca="false">Raw_Data!B87</f>
        <v>56</v>
      </c>
      <c r="C87" s="4" t="str">
        <f aca="false">Raw_Data!C87</f>
        <v>Female</v>
      </c>
      <c r="D87" s="4" t="str">
        <f aca="false">Raw_Data!D87</f>
        <v>Ahmedabad</v>
      </c>
      <c r="E87" s="4" t="str">
        <f aca="false">Raw_Data!E87</f>
        <v>Student</v>
      </c>
      <c r="F87" s="4" t="str">
        <f aca="false">Raw_Data!F87</f>
        <v>40,000-60,000</v>
      </c>
      <c r="G87" s="4" t="str">
        <f aca="false">Raw_Data!G87</f>
        <v>Yes</v>
      </c>
      <c r="H87" s="4" t="str">
        <f aca="false">Raw_Data!H87</f>
        <v>Zerodha</v>
      </c>
      <c r="I87" s="4" t="str">
        <f aca="false">Raw_Data!I87</f>
        <v>Weekly</v>
      </c>
      <c r="J87" s="4" t="n">
        <f aca="false">Raw_Data!J87</f>
        <v>2201</v>
      </c>
      <c r="K87" s="4" t="str">
        <f aca="false">Raw_Data!K87</f>
        <v>Savings</v>
      </c>
      <c r="L87" s="4" t="n">
        <f aca="false">Raw_Data!L87</f>
        <v>4</v>
      </c>
      <c r="M87" s="4" t="str">
        <f aca="false">Raw_Data!M87</f>
        <v>Medium</v>
      </c>
      <c r="N87" s="4" t="str">
        <f aca="false">Raw_Data!N87</f>
        <v>Digital Gold</v>
      </c>
      <c r="O87" s="4" t="n">
        <f aca="false">Raw_Data!O87</f>
        <v>2</v>
      </c>
      <c r="P87" s="4" t="n">
        <f aca="false">Raw_Data!P87</f>
        <v>8</v>
      </c>
      <c r="Q87" s="4" t="str">
        <f aca="false">IF(OR(B87="",B87=0),"Unknown",IF(B87&lt;=25,"18-25",IF(B87&lt;=35,"26-35",IF(B87&lt;=45,"36-45","46+"))))</f>
        <v>46+</v>
      </c>
      <c r="R87" s="4" t="n">
        <f aca="false">IF(F87="Below 20,000",10000,IF(F87="20,000-40,000",30000,IF(F87="40,000-60,000",50000,IF(F87="60,000-80,000",70000,IF(F87="Above 80,000",100000,0)))))</f>
        <v>50000</v>
      </c>
      <c r="S87" s="4" t="n">
        <f aca="false">IF(G87="Yes",1,0)</f>
        <v>1</v>
      </c>
    </row>
    <row r="88" customFormat="false" ht="15" hidden="false" customHeight="true" outlineLevel="0" collapsed="false">
      <c r="A88" s="3" t="str">
        <f aca="false">Raw_Data!A88</f>
        <v>R087</v>
      </c>
      <c r="B88" s="3" t="n">
        <f aca="false">Raw_Data!B88</f>
        <v>51</v>
      </c>
      <c r="C88" s="3" t="str">
        <f aca="false">Raw_Data!C88</f>
        <v>Male</v>
      </c>
      <c r="D88" s="3" t="str">
        <f aca="false">Raw_Data!D88</f>
        <v>Bangalore</v>
      </c>
      <c r="E88" s="3" t="str">
        <f aca="false">Raw_Data!E88</f>
        <v>Business</v>
      </c>
      <c r="F88" s="3" t="str">
        <f aca="false">Raw_Data!F88</f>
        <v>40,000-60,000</v>
      </c>
      <c r="G88" s="3" t="str">
        <f aca="false">Raw_Data!G88</f>
        <v>Yes</v>
      </c>
      <c r="H88" s="3" t="str">
        <f aca="false">Raw_Data!H88</f>
        <v>MMTC-PAMP</v>
      </c>
      <c r="I88" s="3" t="str">
        <f aca="false">Raw_Data!I88</f>
        <v>Rarely</v>
      </c>
      <c r="J88" s="3" t="n">
        <f aca="false">Raw_Data!J88</f>
        <v>4209</v>
      </c>
      <c r="K88" s="3" t="str">
        <f aca="false">Raw_Data!K88</f>
        <v>Gifting</v>
      </c>
      <c r="L88" s="3" t="n">
        <f aca="false">Raw_Data!L88</f>
        <v>4</v>
      </c>
      <c r="M88" s="3" t="str">
        <f aca="false">Raw_Data!M88</f>
        <v>Medium</v>
      </c>
      <c r="N88" s="3" t="str">
        <f aca="false">Raw_Data!N88</f>
        <v>Mutual Funds</v>
      </c>
      <c r="O88" s="3" t="n">
        <f aca="false">Raw_Data!O88</f>
        <v>3</v>
      </c>
      <c r="P88" s="3" t="n">
        <f aca="false">Raw_Data!P88</f>
        <v>4</v>
      </c>
      <c r="Q88" s="3" t="str">
        <f aca="false">IF(OR(B88="",B88=0),"Unknown",IF(B88&lt;=25,"18-25",IF(B88&lt;=35,"26-35",IF(B88&lt;=45,"36-45","46+"))))</f>
        <v>46+</v>
      </c>
      <c r="R88" s="3" t="n">
        <f aca="false">IF(F88="Below 20,000",10000,IF(F88="20,000-40,000",30000,IF(F88="40,000-60,000",50000,IF(F88="60,000-80,000",70000,IF(F88="Above 80,000",100000,0)))))</f>
        <v>50000</v>
      </c>
      <c r="S88" s="3" t="n">
        <f aca="false">IF(G88="Yes",1,0)</f>
        <v>1</v>
      </c>
    </row>
    <row r="89" customFormat="false" ht="15" hidden="false" customHeight="true" outlineLevel="0" collapsed="false">
      <c r="A89" s="4" t="str">
        <f aca="false">Raw_Data!A89</f>
        <v>R088</v>
      </c>
      <c r="B89" s="4" t="n">
        <f aca="false">Raw_Data!B89</f>
        <v>23</v>
      </c>
      <c r="C89" s="4" t="str">
        <f aca="false">Raw_Data!C89</f>
        <v>Female</v>
      </c>
      <c r="D89" s="4" t="str">
        <f aca="false">Raw_Data!D89</f>
        <v>Mumbai</v>
      </c>
      <c r="E89" s="4" t="str">
        <f aca="false">Raw_Data!E89</f>
        <v>Student</v>
      </c>
      <c r="F89" s="4" t="str">
        <f aca="false">Raw_Data!F89</f>
        <v>40,000-60,000</v>
      </c>
      <c r="G89" s="4" t="str">
        <f aca="false">Raw_Data!G89</f>
        <v>Yes</v>
      </c>
      <c r="H89" s="4" t="str">
        <f aca="false">Raw_Data!H89</f>
        <v>MMTC-PAMP</v>
      </c>
      <c r="I89" s="4" t="str">
        <f aca="false">Raw_Data!I89</f>
        <v>Rarely</v>
      </c>
      <c r="J89" s="4" t="n">
        <f aca="false">Raw_Data!J89</f>
        <v>4245</v>
      </c>
      <c r="K89" s="4" t="str">
        <f aca="false">Raw_Data!K89</f>
        <v>Investment</v>
      </c>
      <c r="L89" s="4" t="n">
        <f aca="false">Raw_Data!L89</f>
        <v>2</v>
      </c>
      <c r="M89" s="4" t="str">
        <f aca="false">Raw_Data!M89</f>
        <v>High</v>
      </c>
      <c r="N89" s="4" t="str">
        <f aca="false">Raw_Data!N89</f>
        <v>Mutual Funds</v>
      </c>
      <c r="O89" s="4" t="n">
        <f aca="false">Raw_Data!O89</f>
        <v>2</v>
      </c>
      <c r="P89" s="4" t="n">
        <f aca="false">Raw_Data!P89</f>
        <v>4</v>
      </c>
      <c r="Q89" s="4" t="str">
        <f aca="false">IF(OR(B89="",B89=0),"Unknown",IF(B89&lt;=25,"18-25",IF(B89&lt;=35,"26-35",IF(B89&lt;=45,"36-45","46+"))))</f>
        <v>18-25</v>
      </c>
      <c r="R89" s="4" t="n">
        <f aca="false">IF(F89="Below 20,000",10000,IF(F89="20,000-40,000",30000,IF(F89="40,000-60,000",50000,IF(F89="60,000-80,000",70000,IF(F89="Above 80,000",100000,0)))))</f>
        <v>50000</v>
      </c>
      <c r="S89" s="4" t="n">
        <f aca="false">IF(G89="Yes",1,0)</f>
        <v>1</v>
      </c>
    </row>
    <row r="90" customFormat="false" ht="15" hidden="false" customHeight="true" outlineLevel="0" collapsed="false">
      <c r="A90" s="3" t="str">
        <f aca="false">Raw_Data!A90</f>
        <v>R089</v>
      </c>
      <c r="B90" s="3" t="n">
        <f aca="false">Raw_Data!B90</f>
        <v>59</v>
      </c>
      <c r="C90" s="3" t="str">
        <f aca="false">Raw_Data!C90</f>
        <v>Male</v>
      </c>
      <c r="D90" s="3" t="str">
        <f aca="false">Raw_Data!D90</f>
        <v>Kolkata</v>
      </c>
      <c r="E90" s="3" t="str">
        <f aca="false">Raw_Data!E90</f>
        <v>Business</v>
      </c>
      <c r="F90" s="3" t="str">
        <f aca="false">Raw_Data!F90</f>
        <v>Above 80,000</v>
      </c>
      <c r="G90" s="3" t="str">
        <f aca="false">Raw_Data!G90</f>
        <v>No</v>
      </c>
      <c r="H90" s="3" t="n">
        <f aca="false">Raw_Data!H90</f>
        <v>0</v>
      </c>
      <c r="I90" s="3" t="n">
        <f aca="false">Raw_Data!I90</f>
        <v>0</v>
      </c>
      <c r="J90" s="3" t="n">
        <f aca="false">Raw_Data!J90</f>
        <v>0</v>
      </c>
      <c r="K90" s="3" t="n">
        <f aca="false">Raw_Data!K90</f>
        <v>0</v>
      </c>
      <c r="L90" s="3" t="n">
        <f aca="false">Raw_Data!L90</f>
        <v>1</v>
      </c>
      <c r="M90" s="3" t="str">
        <f aca="false">Raw_Data!M90</f>
        <v>Low</v>
      </c>
      <c r="N90" s="3" t="str">
        <f aca="false">Raw_Data!N90</f>
        <v>Digital Gold</v>
      </c>
      <c r="O90" s="3" t="n">
        <f aca="false">Raw_Data!O90</f>
        <v>3</v>
      </c>
      <c r="P90" s="3" t="n">
        <f aca="false">Raw_Data!P90</f>
        <v>7</v>
      </c>
      <c r="Q90" s="3" t="str">
        <f aca="false">IF(OR(B90="",B90=0),"Unknown",IF(B90&lt;=25,"18-25",IF(B90&lt;=35,"26-35",IF(B90&lt;=45,"36-45","46+"))))</f>
        <v>46+</v>
      </c>
      <c r="R90" s="3" t="n">
        <f aca="false">IF(F90="Below 20,000",10000,IF(F90="20,000-40,000",30000,IF(F90="40,000-60,000",50000,IF(F90="60,000-80,000",70000,IF(F90="Above 80,000",100000,0)))))</f>
        <v>100000</v>
      </c>
      <c r="S90" s="3" t="n">
        <f aca="false">IF(G90="Yes",1,0)</f>
        <v>0</v>
      </c>
    </row>
    <row r="91" customFormat="false" ht="15" hidden="false" customHeight="true" outlineLevel="0" collapsed="false">
      <c r="A91" s="4" t="str">
        <f aca="false">Raw_Data!A91</f>
        <v>R090</v>
      </c>
      <c r="B91" s="4" t="n">
        <f aca="false">Raw_Data!B91</f>
        <v>34</v>
      </c>
      <c r="C91" s="4" t="str">
        <f aca="false">Raw_Data!C91</f>
        <v>Male</v>
      </c>
      <c r="D91" s="4" t="str">
        <f aca="false">Raw_Data!D91</f>
        <v>Mumbai</v>
      </c>
      <c r="E91" s="4" t="str">
        <f aca="false">Raw_Data!E91</f>
        <v>Salaried</v>
      </c>
      <c r="F91" s="4" t="str">
        <f aca="false">Raw_Data!F91</f>
        <v>Above 80,000</v>
      </c>
      <c r="G91" s="4" t="str">
        <f aca="false">Raw_Data!G91</f>
        <v>Yes</v>
      </c>
      <c r="H91" s="4" t="str">
        <f aca="false">Raw_Data!H91</f>
        <v>Paytm</v>
      </c>
      <c r="I91" s="4" t="str">
        <f aca="false">Raw_Data!I91</f>
        <v>Quarterly</v>
      </c>
      <c r="J91" s="4" t="n">
        <f aca="false">Raw_Data!J91</f>
        <v>9760</v>
      </c>
      <c r="K91" s="4" t="str">
        <f aca="false">Raw_Data!K91</f>
        <v>Savings</v>
      </c>
      <c r="L91" s="4" t="n">
        <f aca="false">Raw_Data!L91</f>
        <v>2</v>
      </c>
      <c r="M91" s="4" t="str">
        <f aca="false">Raw_Data!M91</f>
        <v>High</v>
      </c>
      <c r="N91" s="4" t="str">
        <f aca="false">Raw_Data!N91</f>
        <v>Physical Gold</v>
      </c>
      <c r="O91" s="4" t="n">
        <f aca="false">Raw_Data!O91</f>
        <v>3</v>
      </c>
      <c r="P91" s="4" t="n">
        <f aca="false">Raw_Data!P91</f>
        <v>3</v>
      </c>
      <c r="Q91" s="4" t="str">
        <f aca="false">IF(OR(B91="",B91=0),"Unknown",IF(B91&lt;=25,"18-25",IF(B91&lt;=35,"26-35",IF(B91&lt;=45,"36-45","46+"))))</f>
        <v>26-35</v>
      </c>
      <c r="R91" s="4" t="n">
        <f aca="false">IF(F91="Below 20,000",10000,IF(F91="20,000-40,000",30000,IF(F91="40,000-60,000",50000,IF(F91="60,000-80,000",70000,IF(F91="Above 80,000",100000,0)))))</f>
        <v>100000</v>
      </c>
      <c r="S91" s="4" t="n">
        <f aca="false">IF(G91="Yes",1,0)</f>
        <v>1</v>
      </c>
    </row>
    <row r="92" customFormat="false" ht="15" hidden="false" customHeight="true" outlineLevel="0" collapsed="false">
      <c r="A92" s="3" t="str">
        <f aca="false">Raw_Data!A92</f>
        <v>R091</v>
      </c>
      <c r="B92" s="3" t="n">
        <f aca="false">Raw_Data!B92</f>
        <v>18</v>
      </c>
      <c r="C92" s="3" t="str">
        <f aca="false">Raw_Data!C92</f>
        <v>Female</v>
      </c>
      <c r="D92" s="3" t="str">
        <f aca="false">Raw_Data!D92</f>
        <v>Ahmedabad</v>
      </c>
      <c r="E92" s="3" t="str">
        <f aca="false">Raw_Data!E92</f>
        <v>Business</v>
      </c>
      <c r="F92" s="3" t="str">
        <f aca="false">Raw_Data!F92</f>
        <v>20,000-40,000</v>
      </c>
      <c r="G92" s="3" t="str">
        <f aca="false">Raw_Data!G92</f>
        <v>Yes</v>
      </c>
      <c r="H92" s="3" t="str">
        <f aca="false">Raw_Data!H92</f>
        <v>Others</v>
      </c>
      <c r="I92" s="3" t="str">
        <f aca="false">Raw_Data!I92</f>
        <v>Monthly</v>
      </c>
      <c r="J92" s="3" t="n">
        <f aca="false">Raw_Data!J92</f>
        <v>3669</v>
      </c>
      <c r="K92" s="3" t="str">
        <f aca="false">Raw_Data!K92</f>
        <v>Gifting</v>
      </c>
      <c r="L92" s="3" t="n">
        <f aca="false">Raw_Data!L92</f>
        <v>4</v>
      </c>
      <c r="M92" s="3" t="str">
        <f aca="false">Raw_Data!M92</f>
        <v>Medium</v>
      </c>
      <c r="N92" s="3" t="str">
        <f aca="false">Raw_Data!N92</f>
        <v>Mutual Funds</v>
      </c>
      <c r="O92" s="3" t="n">
        <f aca="false">Raw_Data!O92</f>
        <v>4</v>
      </c>
      <c r="P92" s="3" t="n">
        <f aca="false">Raw_Data!P92</f>
        <v>5</v>
      </c>
      <c r="Q92" s="3" t="str">
        <f aca="false">IF(OR(B92="",B92=0),"Unknown",IF(B92&lt;=25,"18-25",IF(B92&lt;=35,"26-35",IF(B92&lt;=45,"36-45","46+"))))</f>
        <v>18-25</v>
      </c>
      <c r="R92" s="3" t="n">
        <f aca="false">IF(F92="Below 20,000",10000,IF(F92="20,000-40,000",30000,IF(F92="40,000-60,000",50000,IF(F92="60,000-80,000",70000,IF(F92="Above 80,000",100000,0)))))</f>
        <v>30000</v>
      </c>
      <c r="S92" s="3" t="n">
        <f aca="false">IF(G92="Yes",1,0)</f>
        <v>1</v>
      </c>
    </row>
    <row r="93" customFormat="false" ht="15" hidden="false" customHeight="true" outlineLevel="0" collapsed="false">
      <c r="A93" s="4" t="str">
        <f aca="false">Raw_Data!A93</f>
        <v>R092</v>
      </c>
      <c r="B93" s="4" t="n">
        <f aca="false">Raw_Data!B93</f>
        <v>19</v>
      </c>
      <c r="C93" s="4" t="str">
        <f aca="false">Raw_Data!C93</f>
        <v>Male</v>
      </c>
      <c r="D93" s="4" t="str">
        <f aca="false">Raw_Data!D93</f>
        <v>Chennai</v>
      </c>
      <c r="E93" s="4" t="str">
        <f aca="false">Raw_Data!E93</f>
        <v>Salaried</v>
      </c>
      <c r="F93" s="4" t="str">
        <f aca="false">Raw_Data!F93</f>
        <v>60,000-80,000</v>
      </c>
      <c r="G93" s="4" t="str">
        <f aca="false">Raw_Data!G93</f>
        <v>Yes</v>
      </c>
      <c r="H93" s="4" t="str">
        <f aca="false">Raw_Data!H93</f>
        <v>Zerodha</v>
      </c>
      <c r="I93" s="4" t="str">
        <f aca="false">Raw_Data!I93</f>
        <v>Monthly</v>
      </c>
      <c r="J93" s="4" t="n">
        <f aca="false">Raw_Data!J93</f>
        <v>6862</v>
      </c>
      <c r="K93" s="4" t="str">
        <f aca="false">Raw_Data!K93</f>
        <v>Investment</v>
      </c>
      <c r="L93" s="4" t="n">
        <f aca="false">Raw_Data!L93</f>
        <v>1</v>
      </c>
      <c r="M93" s="4" t="str">
        <f aca="false">Raw_Data!M93</f>
        <v>Medium</v>
      </c>
      <c r="N93" s="4" t="str">
        <f aca="false">Raw_Data!N93</f>
        <v>Physical Gold</v>
      </c>
      <c r="O93" s="4" t="n">
        <f aca="false">Raw_Data!O93</f>
        <v>1</v>
      </c>
      <c r="P93" s="4" t="n">
        <f aca="false">Raw_Data!P93</f>
        <v>6</v>
      </c>
      <c r="Q93" s="4" t="str">
        <f aca="false">IF(OR(B93="",B93=0),"Unknown",IF(B93&lt;=25,"18-25",IF(B93&lt;=35,"26-35",IF(B93&lt;=45,"36-45","46+"))))</f>
        <v>18-25</v>
      </c>
      <c r="R93" s="4" t="n">
        <f aca="false">IF(F93="Below 20,000",10000,IF(F93="20,000-40,000",30000,IF(F93="40,000-60,000",50000,IF(F93="60,000-80,000",70000,IF(F93="Above 80,000",100000,0)))))</f>
        <v>70000</v>
      </c>
      <c r="S93" s="4" t="n">
        <f aca="false">IF(G93="Yes",1,0)</f>
        <v>1</v>
      </c>
    </row>
    <row r="94" customFormat="false" ht="15" hidden="false" customHeight="true" outlineLevel="0" collapsed="false">
      <c r="A94" s="3" t="str">
        <f aca="false">Raw_Data!A94</f>
        <v>R093</v>
      </c>
      <c r="B94" s="3" t="n">
        <f aca="false">Raw_Data!B94</f>
        <v>32</v>
      </c>
      <c r="C94" s="3" t="str">
        <f aca="false">Raw_Data!C94</f>
        <v>Male</v>
      </c>
      <c r="D94" s="3" t="str">
        <f aca="false">Raw_Data!D94</f>
        <v>Bangalore</v>
      </c>
      <c r="E94" s="3" t="str">
        <f aca="false">Raw_Data!E94</f>
        <v>Government Employee</v>
      </c>
      <c r="F94" s="3" t="str">
        <f aca="false">Raw_Data!F94</f>
        <v>20,000-40,000</v>
      </c>
      <c r="G94" s="3" t="str">
        <f aca="false">Raw_Data!G94</f>
        <v>Yes</v>
      </c>
      <c r="H94" s="3" t="str">
        <f aca="false">Raw_Data!H94</f>
        <v>Groww</v>
      </c>
      <c r="I94" s="3" t="str">
        <f aca="false">Raw_Data!I94</f>
        <v>Monthly</v>
      </c>
      <c r="J94" s="3" t="n">
        <f aca="false">Raw_Data!J94</f>
        <v>3561</v>
      </c>
      <c r="K94" s="3" t="str">
        <f aca="false">Raw_Data!K94</f>
        <v>Investment</v>
      </c>
      <c r="L94" s="3" t="n">
        <f aca="false">Raw_Data!L94</f>
        <v>0</v>
      </c>
      <c r="M94" s="3" t="str">
        <f aca="false">Raw_Data!M94</f>
        <v>High</v>
      </c>
      <c r="N94" s="3" t="str">
        <f aca="false">Raw_Data!N94</f>
        <v>Mutual Funds</v>
      </c>
      <c r="O94" s="3" t="n">
        <f aca="false">Raw_Data!O94</f>
        <v>1</v>
      </c>
      <c r="P94" s="3" t="n">
        <f aca="false">Raw_Data!P94</f>
        <v>1</v>
      </c>
      <c r="Q94" s="3" t="str">
        <f aca="false">IF(OR(B94="",B94=0),"Unknown",IF(B94&lt;=25,"18-25",IF(B94&lt;=35,"26-35",IF(B94&lt;=45,"36-45","46+"))))</f>
        <v>26-35</v>
      </c>
      <c r="R94" s="3" t="n">
        <f aca="false">IF(F94="Below 20,000",10000,IF(F94="20,000-40,000",30000,IF(F94="40,000-60,000",50000,IF(F94="60,000-80,000",70000,IF(F94="Above 80,000",100000,0)))))</f>
        <v>30000</v>
      </c>
      <c r="S94" s="3" t="n">
        <f aca="false">IF(G94="Yes",1,0)</f>
        <v>1</v>
      </c>
    </row>
    <row r="95" customFormat="false" ht="15" hidden="false" customHeight="true" outlineLevel="0" collapsed="false">
      <c r="A95" s="4" t="str">
        <f aca="false">Raw_Data!A95</f>
        <v>R094</v>
      </c>
      <c r="B95" s="4" t="n">
        <f aca="false">Raw_Data!B95</f>
        <v>46</v>
      </c>
      <c r="C95" s="4" t="str">
        <f aca="false">Raw_Data!C95</f>
        <v>Male</v>
      </c>
      <c r="D95" s="4" t="str">
        <f aca="false">Raw_Data!D95</f>
        <v>Jaipur</v>
      </c>
      <c r="E95" s="4" t="str">
        <f aca="false">Raw_Data!E95</f>
        <v>Government Employee</v>
      </c>
      <c r="F95" s="4" t="str">
        <f aca="false">Raw_Data!F95</f>
        <v>Below 20,000</v>
      </c>
      <c r="G95" s="4" t="str">
        <f aca="false">Raw_Data!G95</f>
        <v>Yes</v>
      </c>
      <c r="H95" s="4" t="str">
        <f aca="false">Raw_Data!H95</f>
        <v>Others</v>
      </c>
      <c r="I95" s="4" t="str">
        <f aca="false">Raw_Data!I95</f>
        <v>Monthly</v>
      </c>
      <c r="J95" s="4" t="n">
        <f aca="false">Raw_Data!J95</f>
        <v>328</v>
      </c>
      <c r="K95" s="4" t="str">
        <f aca="false">Raw_Data!K95</f>
        <v>Investment</v>
      </c>
      <c r="L95" s="4" t="n">
        <f aca="false">Raw_Data!L95</f>
        <v>5</v>
      </c>
      <c r="M95" s="4" t="str">
        <f aca="false">Raw_Data!M95</f>
        <v>High</v>
      </c>
      <c r="N95" s="4" t="str">
        <f aca="false">Raw_Data!N95</f>
        <v>Digital Gold</v>
      </c>
      <c r="O95" s="4" t="n">
        <f aca="false">Raw_Data!O95</f>
        <v>4</v>
      </c>
      <c r="P95" s="4" t="n">
        <f aca="false">Raw_Data!P95</f>
        <v>8</v>
      </c>
      <c r="Q95" s="4" t="str">
        <f aca="false">IF(OR(B95="",B95=0),"Unknown",IF(B95&lt;=25,"18-25",IF(B95&lt;=35,"26-35",IF(B95&lt;=45,"36-45","46+"))))</f>
        <v>46+</v>
      </c>
      <c r="R95" s="4" t="n">
        <f aca="false">IF(F95="Below 20,000",10000,IF(F95="20,000-40,000",30000,IF(F95="40,000-60,000",50000,IF(F95="60,000-80,000",70000,IF(F95="Above 80,000",100000,0)))))</f>
        <v>10000</v>
      </c>
      <c r="S95" s="4" t="n">
        <f aca="false">IF(G95="Yes",1,0)</f>
        <v>1</v>
      </c>
    </row>
    <row r="96" customFormat="false" ht="15" hidden="false" customHeight="true" outlineLevel="0" collapsed="false">
      <c r="A96" s="3" t="str">
        <f aca="false">Raw_Data!A96</f>
        <v>R095</v>
      </c>
      <c r="B96" s="3" t="n">
        <f aca="false">Raw_Data!B96</f>
        <v>39</v>
      </c>
      <c r="C96" s="3" t="str">
        <f aca="false">Raw_Data!C96</f>
        <v>Male</v>
      </c>
      <c r="D96" s="3" t="str">
        <f aca="false">Raw_Data!D96</f>
        <v>Chennai</v>
      </c>
      <c r="E96" s="3" t="str">
        <f aca="false">Raw_Data!E96</f>
        <v>Salaried</v>
      </c>
      <c r="F96" s="3" t="str">
        <f aca="false">Raw_Data!F96</f>
        <v>Above 80,000</v>
      </c>
      <c r="G96" s="3" t="str">
        <f aca="false">Raw_Data!G96</f>
        <v>Yes</v>
      </c>
      <c r="H96" s="3" t="str">
        <f aca="false">Raw_Data!H96</f>
        <v>MMTC-PAMP</v>
      </c>
      <c r="I96" s="3" t="str">
        <f aca="false">Raw_Data!I96</f>
        <v>Rarely</v>
      </c>
      <c r="J96" s="3" t="n">
        <f aca="false">Raw_Data!J96</f>
        <v>10993</v>
      </c>
      <c r="K96" s="3" t="str">
        <f aca="false">Raw_Data!K96</f>
        <v>Savings</v>
      </c>
      <c r="L96" s="3" t="n">
        <f aca="false">Raw_Data!L96</f>
        <v>5</v>
      </c>
      <c r="M96" s="3" t="str">
        <f aca="false">Raw_Data!M96</f>
        <v>Medium</v>
      </c>
      <c r="N96" s="3" t="str">
        <f aca="false">Raw_Data!N96</f>
        <v>Mutual Funds</v>
      </c>
      <c r="O96" s="3" t="n">
        <f aca="false">Raw_Data!O96</f>
        <v>4</v>
      </c>
      <c r="P96" s="3" t="n">
        <f aca="false">Raw_Data!P96</f>
        <v>3</v>
      </c>
      <c r="Q96" s="3" t="str">
        <f aca="false">IF(OR(B96="",B96=0),"Unknown",IF(B96&lt;=25,"18-25",IF(B96&lt;=35,"26-35",IF(B96&lt;=45,"36-45","46+"))))</f>
        <v>36-45</v>
      </c>
      <c r="R96" s="3" t="n">
        <f aca="false">IF(F96="Below 20,000",10000,IF(F96="20,000-40,000",30000,IF(F96="40,000-60,000",50000,IF(F96="60,000-80,000",70000,IF(F96="Above 80,000",100000,0)))))</f>
        <v>100000</v>
      </c>
      <c r="S96" s="3" t="n">
        <f aca="false">IF(G96="Yes",1,0)</f>
        <v>1</v>
      </c>
    </row>
    <row r="97" customFormat="false" ht="15" hidden="false" customHeight="true" outlineLevel="0" collapsed="false">
      <c r="A97" s="4" t="str">
        <f aca="false">Raw_Data!A97</f>
        <v>R096</v>
      </c>
      <c r="B97" s="4" t="n">
        <f aca="false">Raw_Data!B97</f>
        <v>34</v>
      </c>
      <c r="C97" s="4" t="str">
        <f aca="false">Raw_Data!C97</f>
        <v>Male</v>
      </c>
      <c r="D97" s="4" t="str">
        <f aca="false">Raw_Data!D97</f>
        <v>Mumbai</v>
      </c>
      <c r="E97" s="4" t="str">
        <f aca="false">Raw_Data!E97</f>
        <v>Homemaker</v>
      </c>
      <c r="F97" s="4" t="n">
        <f aca="false">Raw_Data!F97</f>
        <v>0</v>
      </c>
      <c r="G97" s="4" t="str">
        <f aca="false">Raw_Data!G97</f>
        <v>No</v>
      </c>
      <c r="H97" s="4" t="n">
        <f aca="false">Raw_Data!H97</f>
        <v>0</v>
      </c>
      <c r="I97" s="4" t="n">
        <f aca="false">Raw_Data!I97</f>
        <v>0</v>
      </c>
      <c r="J97" s="4" t="n">
        <f aca="false">Raw_Data!J97</f>
        <v>0</v>
      </c>
      <c r="K97" s="4" t="n">
        <f aca="false">Raw_Data!K97</f>
        <v>0</v>
      </c>
      <c r="L97" s="4" t="n">
        <f aca="false">Raw_Data!L97</f>
        <v>2</v>
      </c>
      <c r="M97" s="4" t="str">
        <f aca="false">Raw_Data!M97</f>
        <v>Medium</v>
      </c>
      <c r="N97" s="4" t="str">
        <f aca="false">Raw_Data!N97</f>
        <v>Digital Gold</v>
      </c>
      <c r="O97" s="4" t="n">
        <f aca="false">Raw_Data!O97</f>
        <v>1</v>
      </c>
      <c r="P97" s="4" t="n">
        <f aca="false">Raw_Data!P97</f>
        <v>5</v>
      </c>
      <c r="Q97" s="4" t="str">
        <f aca="false">IF(OR(B97="",B97=0),"Unknown",IF(B97&lt;=25,"18-25",IF(B97&lt;=35,"26-35",IF(B97&lt;=45,"36-45","46+"))))</f>
        <v>26-35</v>
      </c>
      <c r="R97" s="4" t="n">
        <f aca="false">IF(F97="Below 20,000",10000,IF(F97="20,000-40,000",30000,IF(F97="40,000-60,000",50000,IF(F97="60,000-80,000",70000,IF(F97="Above 80,000",100000,0)))))</f>
        <v>0</v>
      </c>
      <c r="S97" s="4" t="n">
        <f aca="false">IF(G97="Yes",1,0)</f>
        <v>0</v>
      </c>
    </row>
    <row r="98" customFormat="false" ht="15" hidden="false" customHeight="true" outlineLevel="0" collapsed="false">
      <c r="A98" s="3" t="str">
        <f aca="false">Raw_Data!A98</f>
        <v>R097</v>
      </c>
      <c r="B98" s="3" t="n">
        <f aca="false">Raw_Data!B98</f>
        <v>31</v>
      </c>
      <c r="C98" s="3" t="str">
        <f aca="false">Raw_Data!C98</f>
        <v>Male</v>
      </c>
      <c r="D98" s="3" t="str">
        <f aca="false">Raw_Data!D98</f>
        <v>Chennai</v>
      </c>
      <c r="E98" s="3" t="str">
        <f aca="false">Raw_Data!E98</f>
        <v>Salaried</v>
      </c>
      <c r="F98" s="3" t="str">
        <f aca="false">Raw_Data!F98</f>
        <v>40,000-60,000</v>
      </c>
      <c r="G98" s="3" t="str">
        <f aca="false">Raw_Data!G98</f>
        <v>No</v>
      </c>
      <c r="H98" s="3" t="n">
        <f aca="false">Raw_Data!H98</f>
        <v>0</v>
      </c>
      <c r="I98" s="3" t="n">
        <f aca="false">Raw_Data!I98</f>
        <v>0</v>
      </c>
      <c r="J98" s="3" t="n">
        <f aca="false">Raw_Data!J98</f>
        <v>0</v>
      </c>
      <c r="K98" s="3" t="n">
        <f aca="false">Raw_Data!K98</f>
        <v>0</v>
      </c>
      <c r="L98" s="3" t="n">
        <f aca="false">Raw_Data!L98</f>
        <v>1</v>
      </c>
      <c r="M98" s="3" t="str">
        <f aca="false">Raw_Data!M98</f>
        <v>High</v>
      </c>
      <c r="N98" s="3" t="str">
        <f aca="false">Raw_Data!N98</f>
        <v>Digital Gold</v>
      </c>
      <c r="O98" s="3" t="n">
        <f aca="false">Raw_Data!O98</f>
        <v>5</v>
      </c>
      <c r="P98" s="3" t="n">
        <f aca="false">Raw_Data!P98</f>
        <v>3</v>
      </c>
      <c r="Q98" s="3" t="str">
        <f aca="false">IF(OR(B98="",B98=0),"Unknown",IF(B98&lt;=25,"18-25",IF(B98&lt;=35,"26-35",IF(B98&lt;=45,"36-45","46+"))))</f>
        <v>26-35</v>
      </c>
      <c r="R98" s="3" t="n">
        <f aca="false">IF(F98="Below 20,000",10000,IF(F98="20,000-40,000",30000,IF(F98="40,000-60,000",50000,IF(F98="60,000-80,000",70000,IF(F98="Above 80,000",100000,0)))))</f>
        <v>50000</v>
      </c>
      <c r="S98" s="3" t="n">
        <f aca="false">IF(G98="Yes",1,0)</f>
        <v>0</v>
      </c>
    </row>
    <row r="99" customFormat="false" ht="15" hidden="false" customHeight="true" outlineLevel="0" collapsed="false">
      <c r="A99" s="4" t="str">
        <f aca="false">Raw_Data!A99</f>
        <v>R098</v>
      </c>
      <c r="B99" s="4" t="n">
        <f aca="false">Raw_Data!B99</f>
        <v>22</v>
      </c>
      <c r="C99" s="4" t="str">
        <f aca="false">Raw_Data!C99</f>
        <v>Female</v>
      </c>
      <c r="D99" s="4" t="str">
        <f aca="false">Raw_Data!D99</f>
        <v>Ahmedabad</v>
      </c>
      <c r="E99" s="4" t="str">
        <f aca="false">Raw_Data!E99</f>
        <v>Government Employee</v>
      </c>
      <c r="F99" s="4" t="str">
        <f aca="false">Raw_Data!F99</f>
        <v>40,000-60,000</v>
      </c>
      <c r="G99" s="4" t="str">
        <f aca="false">Raw_Data!G99</f>
        <v>Yes</v>
      </c>
      <c r="H99" s="4" t="str">
        <f aca="false">Raw_Data!H99</f>
        <v>MMTC-PAMP</v>
      </c>
      <c r="I99" s="4" t="str">
        <f aca="false">Raw_Data!I99</f>
        <v>Quarterly</v>
      </c>
      <c r="J99" s="4" t="n">
        <f aca="false">Raw_Data!J99</f>
        <v>6300</v>
      </c>
      <c r="K99" s="4" t="str">
        <f aca="false">Raw_Data!K99</f>
        <v>Investment</v>
      </c>
      <c r="L99" s="4" t="n">
        <f aca="false">Raw_Data!L99</f>
        <v>3</v>
      </c>
      <c r="M99" s="4" t="str">
        <f aca="false">Raw_Data!M99</f>
        <v>Medium</v>
      </c>
      <c r="N99" s="4" t="str">
        <f aca="false">Raw_Data!N99</f>
        <v>Mutual Funds</v>
      </c>
      <c r="O99" s="4" t="n">
        <f aca="false">Raw_Data!O99</f>
        <v>2</v>
      </c>
      <c r="P99" s="4" t="n">
        <f aca="false">Raw_Data!P99</f>
        <v>3</v>
      </c>
      <c r="Q99" s="4" t="str">
        <f aca="false">IF(OR(B99="",B99=0),"Unknown",IF(B99&lt;=25,"18-25",IF(B99&lt;=35,"26-35",IF(B99&lt;=45,"36-45","46+"))))</f>
        <v>18-25</v>
      </c>
      <c r="R99" s="4" t="n">
        <f aca="false">IF(F99="Below 20,000",10000,IF(F99="20,000-40,000",30000,IF(F99="40,000-60,000",50000,IF(F99="60,000-80,000",70000,IF(F99="Above 80,000",100000,0)))))</f>
        <v>50000</v>
      </c>
      <c r="S99" s="4" t="n">
        <f aca="false">IF(G99="Yes",1,0)</f>
        <v>1</v>
      </c>
    </row>
    <row r="100" customFormat="false" ht="15" hidden="false" customHeight="true" outlineLevel="0" collapsed="false">
      <c r="A100" s="3" t="str">
        <f aca="false">Raw_Data!A100</f>
        <v>R099</v>
      </c>
      <c r="B100" s="3" t="n">
        <f aca="false">Raw_Data!B100</f>
        <v>39</v>
      </c>
      <c r="C100" s="3" t="str">
        <f aca="false">Raw_Data!C100</f>
        <v>Female</v>
      </c>
      <c r="D100" s="3" t="str">
        <f aca="false">Raw_Data!D100</f>
        <v>Chennai</v>
      </c>
      <c r="E100" s="3" t="str">
        <f aca="false">Raw_Data!E100</f>
        <v>Salaried</v>
      </c>
      <c r="F100" s="3" t="str">
        <f aca="false">Raw_Data!F100</f>
        <v>40,000-60,000</v>
      </c>
      <c r="G100" s="3" t="str">
        <f aca="false">Raw_Data!G100</f>
        <v>No</v>
      </c>
      <c r="H100" s="3" t="n">
        <f aca="false">Raw_Data!H100</f>
        <v>0</v>
      </c>
      <c r="I100" s="3" t="n">
        <f aca="false">Raw_Data!I100</f>
        <v>0</v>
      </c>
      <c r="J100" s="3" t="n">
        <f aca="false">Raw_Data!J100</f>
        <v>0</v>
      </c>
      <c r="K100" s="3" t="n">
        <f aca="false">Raw_Data!K100</f>
        <v>0</v>
      </c>
      <c r="L100" s="3" t="n">
        <f aca="false">Raw_Data!L100</f>
        <v>2</v>
      </c>
      <c r="M100" s="3" t="str">
        <f aca="false">Raw_Data!M100</f>
        <v>High</v>
      </c>
      <c r="N100" s="3" t="str">
        <f aca="false">Raw_Data!N100</f>
        <v>Digital Gold</v>
      </c>
      <c r="O100" s="3" t="n">
        <f aca="false">Raw_Data!O100</f>
        <v>4</v>
      </c>
      <c r="P100" s="3" t="n">
        <f aca="false">Raw_Data!P100</f>
        <v>8</v>
      </c>
      <c r="Q100" s="3" t="str">
        <f aca="false">IF(OR(B100="",B100=0),"Unknown",IF(B100&lt;=25,"18-25",IF(B100&lt;=35,"26-35",IF(B100&lt;=45,"36-45","46+"))))</f>
        <v>36-45</v>
      </c>
      <c r="R100" s="3" t="n">
        <f aca="false">IF(F100="Below 20,000",10000,IF(F100="20,000-40,000",30000,IF(F100="40,000-60,000",50000,IF(F100="60,000-80,000",70000,IF(F100="Above 80,000",100000,0)))))</f>
        <v>50000</v>
      </c>
      <c r="S100" s="3" t="n">
        <f aca="false">IF(G100="Yes",1,0)</f>
        <v>0</v>
      </c>
    </row>
    <row r="101" customFormat="false" ht="15" hidden="false" customHeight="true" outlineLevel="0" collapsed="false">
      <c r="A101" s="4" t="str">
        <f aca="false">Raw_Data!A101</f>
        <v>R100</v>
      </c>
      <c r="B101" s="4" t="n">
        <f aca="false">Raw_Data!B101</f>
        <v>53</v>
      </c>
      <c r="C101" s="4" t="str">
        <f aca="false">Raw_Data!C101</f>
        <v>Male</v>
      </c>
      <c r="D101" s="4" t="str">
        <f aca="false">Raw_Data!D101</f>
        <v>Lucknow</v>
      </c>
      <c r="E101" s="4" t="str">
        <f aca="false">Raw_Data!E101</f>
        <v>Freelancer</v>
      </c>
      <c r="F101" s="4" t="str">
        <f aca="false">Raw_Data!F101</f>
        <v>60,000-80,000</v>
      </c>
      <c r="G101" s="4" t="str">
        <f aca="false">Raw_Data!G101</f>
        <v>Yes</v>
      </c>
      <c r="H101" s="4" t="str">
        <f aca="false">Raw_Data!H101</f>
        <v>PhonePe</v>
      </c>
      <c r="I101" s="4" t="str">
        <f aca="false">Raw_Data!I101</f>
        <v>Weekly</v>
      </c>
      <c r="J101" s="4" t="n">
        <f aca="false">Raw_Data!J101</f>
        <v>3958</v>
      </c>
      <c r="K101" s="4" t="str">
        <f aca="false">Raw_Data!K101</f>
        <v>Savings</v>
      </c>
      <c r="L101" s="4" t="n">
        <f aca="false">Raw_Data!L101</f>
        <v>5</v>
      </c>
      <c r="M101" s="4" t="str">
        <f aca="false">Raw_Data!M101</f>
        <v>Low</v>
      </c>
      <c r="N101" s="4" t="str">
        <f aca="false">Raw_Data!N101</f>
        <v>Digital Gold</v>
      </c>
      <c r="O101" s="4" t="n">
        <f aca="false">Raw_Data!O101</f>
        <v>3</v>
      </c>
      <c r="P101" s="4" t="n">
        <f aca="false">Raw_Data!P101</f>
        <v>1</v>
      </c>
      <c r="Q101" s="4" t="str">
        <f aca="false">IF(OR(B101="",B101=0),"Unknown",IF(B101&lt;=25,"18-25",IF(B101&lt;=35,"26-35",IF(B101&lt;=45,"36-45","46+"))))</f>
        <v>46+</v>
      </c>
      <c r="R101" s="4" t="n">
        <f aca="false">IF(F101="Below 20,000",10000,IF(F101="20,000-40,000",30000,IF(F101="40,000-60,000",50000,IF(F101="60,000-80,000",70000,IF(F101="Above 80,000",100000,0)))))</f>
        <v>70000</v>
      </c>
      <c r="S101" s="4" t="n">
        <f aca="false">IF(G101="Yes",1,0)</f>
        <v>1</v>
      </c>
    </row>
    <row r="102" customFormat="false" ht="15" hidden="false" customHeight="true" outlineLevel="0" collapsed="false">
      <c r="A102" s="3" t="str">
        <f aca="false">Raw_Data!A102</f>
        <v>R101</v>
      </c>
      <c r="B102" s="3" t="n">
        <f aca="false">Raw_Data!B102</f>
        <v>55</v>
      </c>
      <c r="C102" s="3" t="str">
        <f aca="false">Raw_Data!C102</f>
        <v>Female</v>
      </c>
      <c r="D102" s="3" t="str">
        <f aca="false">Raw_Data!D102</f>
        <v>Kolkata</v>
      </c>
      <c r="E102" s="3" t="str">
        <f aca="false">Raw_Data!E102</f>
        <v>Salaried</v>
      </c>
      <c r="F102" s="3" t="str">
        <f aca="false">Raw_Data!F102</f>
        <v>20,000-40,000</v>
      </c>
      <c r="G102" s="3" t="str">
        <f aca="false">Raw_Data!G102</f>
        <v>Yes</v>
      </c>
      <c r="H102" s="3" t="str">
        <f aca="false">Raw_Data!H102</f>
        <v>Zerodha</v>
      </c>
      <c r="I102" s="3" t="str">
        <f aca="false">Raw_Data!I102</f>
        <v>Monthly</v>
      </c>
      <c r="J102" s="3" t="n">
        <f aca="false">Raw_Data!J102</f>
        <v>1436</v>
      </c>
      <c r="K102" s="3" t="str">
        <f aca="false">Raw_Data!K102</f>
        <v>Gifting</v>
      </c>
      <c r="L102" s="3" t="n">
        <f aca="false">Raw_Data!L102</f>
        <v>4</v>
      </c>
      <c r="M102" s="3" t="str">
        <f aca="false">Raw_Data!M102</f>
        <v>High</v>
      </c>
      <c r="N102" s="3" t="str">
        <f aca="false">Raw_Data!N102</f>
        <v>Digital Gold</v>
      </c>
      <c r="O102" s="3" t="n">
        <f aca="false">Raw_Data!O102</f>
        <v>1</v>
      </c>
      <c r="P102" s="3" t="n">
        <f aca="false">Raw_Data!P102</f>
        <v>4</v>
      </c>
      <c r="Q102" s="3" t="str">
        <f aca="false">IF(OR(B102="",B102=0),"Unknown",IF(B102&lt;=25,"18-25",IF(B102&lt;=35,"26-35",IF(B102&lt;=45,"36-45","46+"))))</f>
        <v>46+</v>
      </c>
      <c r="R102" s="3" t="n">
        <f aca="false">IF(F102="Below 20,000",10000,IF(F102="20,000-40,000",30000,IF(F102="40,000-60,000",50000,IF(F102="60,000-80,000",70000,IF(F102="Above 80,000",100000,0)))))</f>
        <v>30000</v>
      </c>
      <c r="S102" s="3" t="n">
        <f aca="false">IF(G102="Yes",1,0)</f>
        <v>1</v>
      </c>
    </row>
    <row r="103" customFormat="false" ht="15" hidden="false" customHeight="true" outlineLevel="0" collapsed="false">
      <c r="A103" s="4" t="str">
        <f aca="false">Raw_Data!A103</f>
        <v>R102</v>
      </c>
      <c r="B103" s="4" t="n">
        <f aca="false">Raw_Data!B103</f>
        <v>53</v>
      </c>
      <c r="C103" s="4" t="str">
        <f aca="false">Raw_Data!C103</f>
        <v>Female</v>
      </c>
      <c r="D103" s="4" t="str">
        <f aca="false">Raw_Data!D103</f>
        <v>Hyderabad</v>
      </c>
      <c r="E103" s="4" t="str">
        <f aca="false">Raw_Data!E103</f>
        <v>Salaried</v>
      </c>
      <c r="F103" s="4" t="str">
        <f aca="false">Raw_Data!F103</f>
        <v>Below 20,000</v>
      </c>
      <c r="G103" s="4" t="str">
        <f aca="false">Raw_Data!G103</f>
        <v>Yes</v>
      </c>
      <c r="H103" s="4" t="str">
        <f aca="false">Raw_Data!H103</f>
        <v>Groww</v>
      </c>
      <c r="I103" s="4" t="str">
        <f aca="false">Raw_Data!I103</f>
        <v>Rarely</v>
      </c>
      <c r="J103" s="4" t="n">
        <f aca="false">Raw_Data!J103</f>
        <v>1033</v>
      </c>
      <c r="K103" s="4" t="str">
        <f aca="false">Raw_Data!K103</f>
        <v>Investment</v>
      </c>
      <c r="L103" s="4" t="n">
        <f aca="false">Raw_Data!L103</f>
        <v>0</v>
      </c>
      <c r="M103" s="4" t="str">
        <f aca="false">Raw_Data!M103</f>
        <v>Medium</v>
      </c>
      <c r="N103" s="4" t="str">
        <f aca="false">Raw_Data!N103</f>
        <v>Digital Gold</v>
      </c>
      <c r="O103" s="4" t="n">
        <f aca="false">Raw_Data!O103</f>
        <v>2</v>
      </c>
      <c r="P103" s="4" t="n">
        <f aca="false">Raw_Data!P103</f>
        <v>2</v>
      </c>
      <c r="Q103" s="4" t="str">
        <f aca="false">IF(OR(B103="",B103=0),"Unknown",IF(B103&lt;=25,"18-25",IF(B103&lt;=35,"26-35",IF(B103&lt;=45,"36-45","46+"))))</f>
        <v>46+</v>
      </c>
      <c r="R103" s="4" t="n">
        <f aca="false">IF(F103="Below 20,000",10000,IF(F103="20,000-40,000",30000,IF(F103="40,000-60,000",50000,IF(F103="60,000-80,000",70000,IF(F103="Above 80,000",100000,0)))))</f>
        <v>10000</v>
      </c>
      <c r="S103" s="4" t="n">
        <f aca="false">IF(G103="Yes",1,0)</f>
        <v>1</v>
      </c>
    </row>
    <row r="104" customFormat="false" ht="15" hidden="false" customHeight="true" outlineLevel="0" collapsed="false">
      <c r="A104" s="3" t="str">
        <f aca="false">Raw_Data!A104</f>
        <v>R103</v>
      </c>
      <c r="B104" s="3" t="n">
        <f aca="false">Raw_Data!B104</f>
        <v>43</v>
      </c>
      <c r="C104" s="3" t="str">
        <f aca="false">Raw_Data!C104</f>
        <v>Male</v>
      </c>
      <c r="D104" s="3" t="str">
        <f aca="false">Raw_Data!D104</f>
        <v>Chennai</v>
      </c>
      <c r="E104" s="3" t="str">
        <f aca="false">Raw_Data!E104</f>
        <v>Freelancer</v>
      </c>
      <c r="F104" s="3" t="str">
        <f aca="false">Raw_Data!F104</f>
        <v>Below 20,000</v>
      </c>
      <c r="G104" s="3" t="str">
        <f aca="false">Raw_Data!G104</f>
        <v>Yes</v>
      </c>
      <c r="H104" s="3" t="str">
        <f aca="false">Raw_Data!H104</f>
        <v>Google Pay</v>
      </c>
      <c r="I104" s="3" t="str">
        <f aca="false">Raw_Data!I104</f>
        <v>Quarterly</v>
      </c>
      <c r="J104" s="3" t="n">
        <f aca="false">Raw_Data!J104</f>
        <v>928</v>
      </c>
      <c r="K104" s="3" t="str">
        <f aca="false">Raw_Data!K104</f>
        <v>Savings</v>
      </c>
      <c r="L104" s="3" t="n">
        <f aca="false">Raw_Data!L104</f>
        <v>2</v>
      </c>
      <c r="M104" s="3" t="str">
        <f aca="false">Raw_Data!M104</f>
        <v>Medium</v>
      </c>
      <c r="N104" s="3" t="str">
        <f aca="false">Raw_Data!N104</f>
        <v>Mutual Funds</v>
      </c>
      <c r="O104" s="3" t="n">
        <f aca="false">Raw_Data!O104</f>
        <v>3</v>
      </c>
      <c r="P104" s="3" t="n">
        <f aca="false">Raw_Data!P104</f>
        <v>7</v>
      </c>
      <c r="Q104" s="3" t="str">
        <f aca="false">IF(OR(B104="",B104=0),"Unknown",IF(B104&lt;=25,"18-25",IF(B104&lt;=35,"26-35",IF(B104&lt;=45,"36-45","46+"))))</f>
        <v>36-45</v>
      </c>
      <c r="R104" s="3" t="n">
        <f aca="false">IF(F104="Below 20,000",10000,IF(F104="20,000-40,000",30000,IF(F104="40,000-60,000",50000,IF(F104="60,000-80,000",70000,IF(F104="Above 80,000",100000,0)))))</f>
        <v>10000</v>
      </c>
      <c r="S104" s="3" t="n">
        <f aca="false">IF(G104="Yes",1,0)</f>
        <v>1</v>
      </c>
    </row>
    <row r="105" customFormat="false" ht="15" hidden="false" customHeight="true" outlineLevel="0" collapsed="false">
      <c r="A105" s="4" t="str">
        <f aca="false">Raw_Data!A105</f>
        <v>R104</v>
      </c>
      <c r="B105" s="4" t="n">
        <f aca="false">Raw_Data!B105</f>
        <v>44</v>
      </c>
      <c r="C105" s="4" t="n">
        <f aca="false">Raw_Data!C105</f>
        <v>0</v>
      </c>
      <c r="D105" s="4" t="str">
        <f aca="false">Raw_Data!D105</f>
        <v>Delhi</v>
      </c>
      <c r="E105" s="4" t="str">
        <f aca="false">Raw_Data!E105</f>
        <v>Government Employee</v>
      </c>
      <c r="F105" s="4" t="n">
        <f aca="false">Raw_Data!F105</f>
        <v>0</v>
      </c>
      <c r="G105" s="4" t="str">
        <f aca="false">Raw_Data!G105</f>
        <v>No</v>
      </c>
      <c r="H105" s="4" t="str">
        <f aca="false">Raw_Data!H105</f>
        <v>Zerodha</v>
      </c>
      <c r="I105" s="4" t="n">
        <f aca="false">Raw_Data!I105</f>
        <v>0</v>
      </c>
      <c r="J105" s="4" t="n">
        <f aca="false">Raw_Data!J105</f>
        <v>0</v>
      </c>
      <c r="K105" s="4" t="n">
        <f aca="false">Raw_Data!K105</f>
        <v>0</v>
      </c>
      <c r="L105" s="4" t="n">
        <f aca="false">Raw_Data!L105</f>
        <v>2</v>
      </c>
      <c r="M105" s="4" t="str">
        <f aca="false">Raw_Data!M105</f>
        <v>High</v>
      </c>
      <c r="N105" s="4" t="str">
        <f aca="false">Raw_Data!N105</f>
        <v>Fixed Deposit</v>
      </c>
      <c r="O105" s="4" t="n">
        <f aca="false">Raw_Data!O105</f>
        <v>4</v>
      </c>
      <c r="P105" s="4" t="n">
        <f aca="false">Raw_Data!P105</f>
        <v>4</v>
      </c>
      <c r="Q105" s="4" t="str">
        <f aca="false">IF(OR(B105="",B105=0),"Unknown",IF(B105&lt;=25,"18-25",IF(B105&lt;=35,"26-35",IF(B105&lt;=45,"36-45","46+"))))</f>
        <v>36-45</v>
      </c>
      <c r="R105" s="4" t="n">
        <f aca="false">IF(F105="Below 20,000",10000,IF(F105="20,000-40,000",30000,IF(F105="40,000-60,000",50000,IF(F105="60,000-80,000",70000,IF(F105="Above 80,000",100000,0)))))</f>
        <v>0</v>
      </c>
      <c r="S105" s="4" t="n">
        <f aca="false">IF(G105="Yes",1,0)</f>
        <v>0</v>
      </c>
    </row>
    <row r="106" customFormat="false" ht="15" hidden="false" customHeight="true" outlineLevel="0" collapsed="false">
      <c r="A106" s="3" t="str">
        <f aca="false">Raw_Data!A106</f>
        <v>R105</v>
      </c>
      <c r="B106" s="3" t="n">
        <f aca="false">Raw_Data!B106</f>
        <v>31</v>
      </c>
      <c r="C106" s="3" t="str">
        <f aca="false">Raw_Data!C106</f>
        <v>Male</v>
      </c>
      <c r="D106" s="3" t="str">
        <f aca="false">Raw_Data!D106</f>
        <v>Pune</v>
      </c>
      <c r="E106" s="3" t="str">
        <f aca="false">Raw_Data!E106</f>
        <v>Student</v>
      </c>
      <c r="F106" s="3" t="str">
        <f aca="false">Raw_Data!F106</f>
        <v>20,000-40,000</v>
      </c>
      <c r="G106" s="3" t="str">
        <f aca="false">Raw_Data!G106</f>
        <v>Yes</v>
      </c>
      <c r="H106" s="3" t="str">
        <f aca="false">Raw_Data!H106</f>
        <v>Groww</v>
      </c>
      <c r="I106" s="3" t="str">
        <f aca="false">Raw_Data!I106</f>
        <v>Daily</v>
      </c>
      <c r="J106" s="3" t="n">
        <f aca="false">Raw_Data!J106</f>
        <v>3548</v>
      </c>
      <c r="K106" s="3" t="str">
        <f aca="false">Raw_Data!K106</f>
        <v>Investment</v>
      </c>
      <c r="L106" s="3" t="n">
        <f aca="false">Raw_Data!L106</f>
        <v>2</v>
      </c>
      <c r="M106" s="3" t="str">
        <f aca="false">Raw_Data!M106</f>
        <v>High</v>
      </c>
      <c r="N106" s="3" t="str">
        <f aca="false">Raw_Data!N106</f>
        <v>Physical Gold</v>
      </c>
      <c r="O106" s="3" t="n">
        <f aca="false">Raw_Data!O106</f>
        <v>5</v>
      </c>
      <c r="P106" s="3" t="n">
        <f aca="false">Raw_Data!P106</f>
        <v>5</v>
      </c>
      <c r="Q106" s="3" t="str">
        <f aca="false">IF(OR(B106="",B106=0),"Unknown",IF(B106&lt;=25,"18-25",IF(B106&lt;=35,"26-35",IF(B106&lt;=45,"36-45","46+"))))</f>
        <v>26-35</v>
      </c>
      <c r="R106" s="3" t="n">
        <f aca="false">IF(F106="Below 20,000",10000,IF(F106="20,000-40,000",30000,IF(F106="40,000-60,000",50000,IF(F106="60,000-80,000",70000,IF(F106="Above 80,000",100000,0)))))</f>
        <v>30000</v>
      </c>
      <c r="S106" s="3" t="n">
        <f aca="false">IF(G106="Yes",1,0)</f>
        <v>1</v>
      </c>
    </row>
    <row r="107" customFormat="false" ht="15" hidden="false" customHeight="true" outlineLevel="0" collapsed="false">
      <c r="A107" s="4" t="str">
        <f aca="false">Raw_Data!A107</f>
        <v>R106</v>
      </c>
      <c r="B107" s="4" t="n">
        <f aca="false">Raw_Data!B107</f>
        <v>21</v>
      </c>
      <c r="C107" s="4" t="str">
        <f aca="false">Raw_Data!C107</f>
        <v>Male</v>
      </c>
      <c r="D107" s="4" t="str">
        <f aca="false">Raw_Data!D107</f>
        <v>Ahmedabad</v>
      </c>
      <c r="E107" s="4" t="str">
        <f aca="false">Raw_Data!E107</f>
        <v>Freelancer</v>
      </c>
      <c r="F107" s="4" t="str">
        <f aca="false">Raw_Data!F107</f>
        <v>Below 20,000</v>
      </c>
      <c r="G107" s="4" t="str">
        <f aca="false">Raw_Data!G107</f>
        <v>Yes</v>
      </c>
      <c r="H107" s="4" t="str">
        <f aca="false">Raw_Data!H107</f>
        <v>Others</v>
      </c>
      <c r="I107" s="4" t="str">
        <f aca="false">Raw_Data!I107</f>
        <v>Daily</v>
      </c>
      <c r="J107" s="4" t="n">
        <f aca="false">Raw_Data!J107</f>
        <v>598</v>
      </c>
      <c r="K107" s="4" t="str">
        <f aca="false">Raw_Data!K107</f>
        <v>Savings</v>
      </c>
      <c r="L107" s="4" t="n">
        <f aca="false">Raw_Data!L107</f>
        <v>5</v>
      </c>
      <c r="M107" s="4" t="str">
        <f aca="false">Raw_Data!M107</f>
        <v>High</v>
      </c>
      <c r="N107" s="4" t="str">
        <f aca="false">Raw_Data!N107</f>
        <v>Fixed Deposit</v>
      </c>
      <c r="O107" s="4" t="n">
        <f aca="false">Raw_Data!O107</f>
        <v>3</v>
      </c>
      <c r="P107" s="4" t="n">
        <f aca="false">Raw_Data!P107</f>
        <v>1</v>
      </c>
      <c r="Q107" s="4" t="str">
        <f aca="false">IF(OR(B107="",B107=0),"Unknown",IF(B107&lt;=25,"18-25",IF(B107&lt;=35,"26-35",IF(B107&lt;=45,"36-45","46+"))))</f>
        <v>18-25</v>
      </c>
      <c r="R107" s="4" t="n">
        <f aca="false">IF(F107="Below 20,000",10000,IF(F107="20,000-40,000",30000,IF(F107="40,000-60,000",50000,IF(F107="60,000-80,000",70000,IF(F107="Above 80,000",100000,0)))))</f>
        <v>10000</v>
      </c>
      <c r="S107" s="4" t="n">
        <f aca="false">IF(G107="Yes",1,0)</f>
        <v>1</v>
      </c>
    </row>
    <row r="108" customFormat="false" ht="15" hidden="false" customHeight="true" outlineLevel="0" collapsed="false">
      <c r="A108" s="3" t="str">
        <f aca="false">Raw_Data!A108</f>
        <v>R107</v>
      </c>
      <c r="B108" s="3" t="n">
        <f aca="false">Raw_Data!B108</f>
        <v>32</v>
      </c>
      <c r="C108" s="3" t="str">
        <f aca="false">Raw_Data!C108</f>
        <v>Female</v>
      </c>
      <c r="D108" s="3" t="str">
        <f aca="false">Raw_Data!D108</f>
        <v>Kolkata</v>
      </c>
      <c r="E108" s="3" t="str">
        <f aca="false">Raw_Data!E108</f>
        <v>Homemaker</v>
      </c>
      <c r="F108" s="3" t="str">
        <f aca="false">Raw_Data!F108</f>
        <v>20,000-40,000</v>
      </c>
      <c r="G108" s="3" t="str">
        <f aca="false">Raw_Data!G108</f>
        <v>Yes</v>
      </c>
      <c r="H108" s="3" t="str">
        <f aca="false">Raw_Data!H108</f>
        <v>Google Pay</v>
      </c>
      <c r="I108" s="3" t="str">
        <f aca="false">Raw_Data!I108</f>
        <v>Daily</v>
      </c>
      <c r="J108" s="3" t="n">
        <f aca="false">Raw_Data!J108</f>
        <v>0</v>
      </c>
      <c r="K108" s="3" t="str">
        <f aca="false">Raw_Data!K108</f>
        <v>Savings</v>
      </c>
      <c r="L108" s="3" t="n">
        <f aca="false">Raw_Data!L108</f>
        <v>2</v>
      </c>
      <c r="M108" s="3" t="str">
        <f aca="false">Raw_Data!M108</f>
        <v>High</v>
      </c>
      <c r="N108" s="3" t="str">
        <f aca="false">Raw_Data!N108</f>
        <v>Fixed Deposit</v>
      </c>
      <c r="O108" s="3" t="n">
        <f aca="false">Raw_Data!O108</f>
        <v>5</v>
      </c>
      <c r="P108" s="3" t="n">
        <f aca="false">Raw_Data!P108</f>
        <v>2</v>
      </c>
      <c r="Q108" s="3" t="str">
        <f aca="false">IF(OR(B108="",B108=0),"Unknown",IF(B108&lt;=25,"18-25",IF(B108&lt;=35,"26-35",IF(B108&lt;=45,"36-45","46+"))))</f>
        <v>26-35</v>
      </c>
      <c r="R108" s="3" t="n">
        <f aca="false">IF(F108="Below 20,000",10000,IF(F108="20,000-40,000",30000,IF(F108="40,000-60,000",50000,IF(F108="60,000-80,000",70000,IF(F108="Above 80,000",100000,0)))))</f>
        <v>30000</v>
      </c>
      <c r="S108" s="3" t="n">
        <f aca="false">IF(G108="Yes",1,0)</f>
        <v>1</v>
      </c>
    </row>
    <row r="109" customFormat="false" ht="15" hidden="false" customHeight="true" outlineLevel="0" collapsed="false">
      <c r="A109" s="4" t="str">
        <f aca="false">Raw_Data!A109</f>
        <v>R108</v>
      </c>
      <c r="B109" s="4" t="n">
        <f aca="false">Raw_Data!B109</f>
        <v>30</v>
      </c>
      <c r="C109" s="4" t="str">
        <f aca="false">Raw_Data!C109</f>
        <v>Male</v>
      </c>
      <c r="D109" s="4" t="str">
        <f aca="false">Raw_Data!D109</f>
        <v>Bangalore</v>
      </c>
      <c r="E109" s="4" t="str">
        <f aca="false">Raw_Data!E109</f>
        <v>Student</v>
      </c>
      <c r="F109" s="4" t="str">
        <f aca="false">Raw_Data!F109</f>
        <v>40,000-60,000</v>
      </c>
      <c r="G109" s="4" t="str">
        <f aca="false">Raw_Data!G109</f>
        <v>Yes</v>
      </c>
      <c r="H109" s="4" t="str">
        <f aca="false">Raw_Data!H109</f>
        <v>Google Pay</v>
      </c>
      <c r="I109" s="4" t="str">
        <f aca="false">Raw_Data!I109</f>
        <v>Rarely</v>
      </c>
      <c r="J109" s="4" t="n">
        <f aca="false">Raw_Data!J109</f>
        <v>1681</v>
      </c>
      <c r="K109" s="4" t="str">
        <f aca="false">Raw_Data!K109</f>
        <v>Savings</v>
      </c>
      <c r="L109" s="4" t="n">
        <f aca="false">Raw_Data!L109</f>
        <v>1</v>
      </c>
      <c r="M109" s="4" t="str">
        <f aca="false">Raw_Data!M109</f>
        <v>Medium</v>
      </c>
      <c r="N109" s="4" t="str">
        <f aca="false">Raw_Data!N109</f>
        <v>Mutual Funds</v>
      </c>
      <c r="O109" s="4" t="n">
        <f aca="false">Raw_Data!O109</f>
        <v>2</v>
      </c>
      <c r="P109" s="4" t="n">
        <f aca="false">Raw_Data!P109</f>
        <v>8</v>
      </c>
      <c r="Q109" s="4" t="str">
        <f aca="false">IF(OR(B109="",B109=0),"Unknown",IF(B109&lt;=25,"18-25",IF(B109&lt;=35,"26-35",IF(B109&lt;=45,"36-45","46+"))))</f>
        <v>26-35</v>
      </c>
      <c r="R109" s="4" t="n">
        <f aca="false">IF(F109="Below 20,000",10000,IF(F109="20,000-40,000",30000,IF(F109="40,000-60,000",50000,IF(F109="60,000-80,000",70000,IF(F109="Above 80,000",100000,0)))))</f>
        <v>50000</v>
      </c>
      <c r="S109" s="4" t="n">
        <f aca="false">IF(G109="Yes",1,0)</f>
        <v>1</v>
      </c>
    </row>
    <row r="110" customFormat="false" ht="15" hidden="false" customHeight="true" outlineLevel="0" collapsed="false">
      <c r="A110" s="3" t="str">
        <f aca="false">Raw_Data!A110</f>
        <v>R109</v>
      </c>
      <c r="B110" s="3" t="n">
        <f aca="false">Raw_Data!B110</f>
        <v>23</v>
      </c>
      <c r="C110" s="3" t="str">
        <f aca="false">Raw_Data!C110</f>
        <v>Male</v>
      </c>
      <c r="D110" s="3" t="str">
        <f aca="false">Raw_Data!D110</f>
        <v>Ahmedabad</v>
      </c>
      <c r="E110" s="3" t="str">
        <f aca="false">Raw_Data!E110</f>
        <v>Salaried</v>
      </c>
      <c r="F110" s="3" t="str">
        <f aca="false">Raw_Data!F110</f>
        <v>60,000-80,000</v>
      </c>
      <c r="G110" s="3" t="str">
        <f aca="false">Raw_Data!G110</f>
        <v>Yes</v>
      </c>
      <c r="H110" s="3" t="str">
        <f aca="false">Raw_Data!H110</f>
        <v>Others</v>
      </c>
      <c r="I110" s="3" t="str">
        <f aca="false">Raw_Data!I110</f>
        <v>Rarely</v>
      </c>
      <c r="J110" s="3" t="n">
        <f aca="false">Raw_Data!J110</f>
        <v>3692</v>
      </c>
      <c r="K110" s="3" t="str">
        <f aca="false">Raw_Data!K110</f>
        <v>Investment</v>
      </c>
      <c r="L110" s="3" t="n">
        <f aca="false">Raw_Data!L110</f>
        <v>3</v>
      </c>
      <c r="M110" s="3" t="str">
        <f aca="false">Raw_Data!M110</f>
        <v>High</v>
      </c>
      <c r="N110" s="3" t="str">
        <f aca="false">Raw_Data!N110</f>
        <v>Mutual Funds</v>
      </c>
      <c r="O110" s="3" t="n">
        <f aca="false">Raw_Data!O110</f>
        <v>4</v>
      </c>
      <c r="P110" s="3" t="n">
        <f aca="false">Raw_Data!P110</f>
        <v>10</v>
      </c>
      <c r="Q110" s="3" t="str">
        <f aca="false">IF(OR(B110="",B110=0),"Unknown",IF(B110&lt;=25,"18-25",IF(B110&lt;=35,"26-35",IF(B110&lt;=45,"36-45","46+"))))</f>
        <v>18-25</v>
      </c>
      <c r="R110" s="3" t="n">
        <f aca="false">IF(F110="Below 20,000",10000,IF(F110="20,000-40,000",30000,IF(F110="40,000-60,000",50000,IF(F110="60,000-80,000",70000,IF(F110="Above 80,000",100000,0)))))</f>
        <v>70000</v>
      </c>
      <c r="S110" s="3" t="n">
        <f aca="false">IF(G110="Yes",1,0)</f>
        <v>1</v>
      </c>
    </row>
    <row r="111" customFormat="false" ht="15" hidden="false" customHeight="true" outlineLevel="0" collapsed="false">
      <c r="A111" s="4" t="str">
        <f aca="false">Raw_Data!A111</f>
        <v>R110</v>
      </c>
      <c r="B111" s="4" t="n">
        <f aca="false">Raw_Data!B111</f>
        <v>49</v>
      </c>
      <c r="C111" s="4" t="str">
        <f aca="false">Raw_Data!C111</f>
        <v>Male</v>
      </c>
      <c r="D111" s="4" t="str">
        <f aca="false">Raw_Data!D111</f>
        <v>Ahmedabad</v>
      </c>
      <c r="E111" s="4" t="str">
        <f aca="false">Raw_Data!E111</f>
        <v>Freelancer</v>
      </c>
      <c r="F111" s="4" t="str">
        <f aca="false">Raw_Data!F111</f>
        <v>40,000-60,000</v>
      </c>
      <c r="G111" s="4" t="str">
        <f aca="false">Raw_Data!G111</f>
        <v>Yes</v>
      </c>
      <c r="H111" s="4" t="str">
        <f aca="false">Raw_Data!H111</f>
        <v>PhonePe</v>
      </c>
      <c r="I111" s="4" t="str">
        <f aca="false">Raw_Data!I111</f>
        <v>Daily</v>
      </c>
      <c r="J111" s="4" t="n">
        <f aca="false">Raw_Data!J111</f>
        <v>5652</v>
      </c>
      <c r="K111" s="4" t="str">
        <f aca="false">Raw_Data!K111</f>
        <v>Savings</v>
      </c>
      <c r="L111" s="4" t="n">
        <f aca="false">Raw_Data!L111</f>
        <v>5</v>
      </c>
      <c r="M111" s="4" t="str">
        <f aca="false">Raw_Data!M111</f>
        <v>High</v>
      </c>
      <c r="N111" s="4" t="str">
        <f aca="false">Raw_Data!N111</f>
        <v>Fixed Deposit</v>
      </c>
      <c r="O111" s="4" t="n">
        <f aca="false">Raw_Data!O111</f>
        <v>4</v>
      </c>
      <c r="P111" s="4" t="n">
        <f aca="false">Raw_Data!P111</f>
        <v>4</v>
      </c>
      <c r="Q111" s="4" t="str">
        <f aca="false">IF(OR(B111="",B111=0),"Unknown",IF(B111&lt;=25,"18-25",IF(B111&lt;=35,"26-35",IF(B111&lt;=45,"36-45","46+"))))</f>
        <v>46+</v>
      </c>
      <c r="R111" s="4" t="n">
        <f aca="false">IF(F111="Below 20,000",10000,IF(F111="20,000-40,000",30000,IF(F111="40,000-60,000",50000,IF(F111="60,000-80,000",70000,IF(F111="Above 80,000",100000,0)))))</f>
        <v>50000</v>
      </c>
      <c r="S111" s="4" t="n">
        <f aca="false">IF(G111="Yes",1,0)</f>
        <v>1</v>
      </c>
    </row>
    <row r="112" customFormat="false" ht="15" hidden="false" customHeight="true" outlineLevel="0" collapsed="false">
      <c r="A112" s="3" t="str">
        <f aca="false">Raw_Data!A112</f>
        <v>R111</v>
      </c>
      <c r="B112" s="3" t="n">
        <f aca="false">Raw_Data!B112</f>
        <v>51</v>
      </c>
      <c r="C112" s="3" t="n">
        <f aca="false">Raw_Data!C112</f>
        <v>0</v>
      </c>
      <c r="D112" s="3" t="str">
        <f aca="false">Raw_Data!D112</f>
        <v>Hyderabad</v>
      </c>
      <c r="E112" s="3" t="str">
        <f aca="false">Raw_Data!E112</f>
        <v>Salaried</v>
      </c>
      <c r="F112" s="3" t="str">
        <f aca="false">Raw_Data!F112</f>
        <v>20,000-40,000</v>
      </c>
      <c r="G112" s="3" t="str">
        <f aca="false">Raw_Data!G112</f>
        <v>Yes</v>
      </c>
      <c r="H112" s="3" t="str">
        <f aca="false">Raw_Data!H112</f>
        <v>Google Pay</v>
      </c>
      <c r="I112" s="3" t="str">
        <f aca="false">Raw_Data!I112</f>
        <v>Weekly</v>
      </c>
      <c r="J112" s="3" t="n">
        <f aca="false">Raw_Data!J112</f>
        <v>1676</v>
      </c>
      <c r="K112" s="3" t="str">
        <f aca="false">Raw_Data!K112</f>
        <v>Gifting</v>
      </c>
      <c r="L112" s="3" t="n">
        <f aca="false">Raw_Data!L112</f>
        <v>3</v>
      </c>
      <c r="M112" s="3" t="str">
        <f aca="false">Raw_Data!M112</f>
        <v>Low</v>
      </c>
      <c r="N112" s="3" t="str">
        <f aca="false">Raw_Data!N112</f>
        <v>Digital Gold</v>
      </c>
      <c r="O112" s="3" t="n">
        <f aca="false">Raw_Data!O112</f>
        <v>4</v>
      </c>
      <c r="P112" s="3" t="n">
        <f aca="false">Raw_Data!P112</f>
        <v>9</v>
      </c>
      <c r="Q112" s="3" t="str">
        <f aca="false">IF(OR(B112="",B112=0),"Unknown",IF(B112&lt;=25,"18-25",IF(B112&lt;=35,"26-35",IF(B112&lt;=45,"36-45","46+"))))</f>
        <v>46+</v>
      </c>
      <c r="R112" s="3" t="n">
        <f aca="false">IF(F112="Below 20,000",10000,IF(F112="20,000-40,000",30000,IF(F112="40,000-60,000",50000,IF(F112="60,000-80,000",70000,IF(F112="Above 80,000",100000,0)))))</f>
        <v>30000</v>
      </c>
      <c r="S112" s="3" t="n">
        <f aca="false">IF(G112="Yes",1,0)</f>
        <v>1</v>
      </c>
    </row>
    <row r="113" customFormat="false" ht="15" hidden="false" customHeight="true" outlineLevel="0" collapsed="false">
      <c r="A113" s="4" t="str">
        <f aca="false">Raw_Data!A113</f>
        <v>R112</v>
      </c>
      <c r="B113" s="4" t="n">
        <f aca="false">Raw_Data!B113</f>
        <v>29</v>
      </c>
      <c r="C113" s="4" t="str">
        <f aca="false">Raw_Data!C113</f>
        <v>Male</v>
      </c>
      <c r="D113" s="4" t="str">
        <f aca="false">Raw_Data!D113</f>
        <v>Kolkata</v>
      </c>
      <c r="E113" s="4" t="str">
        <f aca="false">Raw_Data!E113</f>
        <v>Freelancer</v>
      </c>
      <c r="F113" s="4" t="str">
        <f aca="false">Raw_Data!F113</f>
        <v>Below 20,000</v>
      </c>
      <c r="G113" s="4" t="str">
        <f aca="false">Raw_Data!G113</f>
        <v>No</v>
      </c>
      <c r="H113" s="4" t="n">
        <f aca="false">Raw_Data!H113</f>
        <v>0</v>
      </c>
      <c r="I113" s="4" t="n">
        <f aca="false">Raw_Data!I113</f>
        <v>0</v>
      </c>
      <c r="J113" s="4" t="n">
        <f aca="false">Raw_Data!J113</f>
        <v>0</v>
      </c>
      <c r="K113" s="4" t="n">
        <f aca="false">Raw_Data!K113</f>
        <v>0</v>
      </c>
      <c r="L113" s="4" t="n">
        <f aca="false">Raw_Data!L113</f>
        <v>2</v>
      </c>
      <c r="M113" s="4" t="str">
        <f aca="false">Raw_Data!M113</f>
        <v>High</v>
      </c>
      <c r="N113" s="4" t="str">
        <f aca="false">Raw_Data!N113</f>
        <v>Digital Gold</v>
      </c>
      <c r="O113" s="4" t="n">
        <f aca="false">Raw_Data!O113</f>
        <v>2</v>
      </c>
      <c r="P113" s="4" t="n">
        <f aca="false">Raw_Data!P113</f>
        <v>3</v>
      </c>
      <c r="Q113" s="4" t="str">
        <f aca="false">IF(OR(B113="",B113=0),"Unknown",IF(B113&lt;=25,"18-25",IF(B113&lt;=35,"26-35",IF(B113&lt;=45,"36-45","46+"))))</f>
        <v>26-35</v>
      </c>
      <c r="R113" s="4" t="n">
        <f aca="false">IF(F113="Below 20,000",10000,IF(F113="20,000-40,000",30000,IF(F113="40,000-60,000",50000,IF(F113="60,000-80,000",70000,IF(F113="Above 80,000",100000,0)))))</f>
        <v>10000</v>
      </c>
      <c r="S113" s="4" t="n">
        <f aca="false">IF(G113="Yes",1,0)</f>
        <v>0</v>
      </c>
    </row>
    <row r="114" customFormat="false" ht="15" hidden="false" customHeight="true" outlineLevel="0" collapsed="false">
      <c r="A114" s="3" t="str">
        <f aca="false">Raw_Data!A114</f>
        <v>R113</v>
      </c>
      <c r="B114" s="3" t="n">
        <f aca="false">Raw_Data!B114</f>
        <v>42</v>
      </c>
      <c r="C114" s="3" t="str">
        <f aca="false">Raw_Data!C114</f>
        <v>Male</v>
      </c>
      <c r="D114" s="3" t="str">
        <f aca="false">Raw_Data!D114</f>
        <v>Pune</v>
      </c>
      <c r="E114" s="3" t="str">
        <f aca="false">Raw_Data!E114</f>
        <v>Government Employee</v>
      </c>
      <c r="F114" s="3" t="str">
        <f aca="false">Raw_Data!F114</f>
        <v>40,000-60,000</v>
      </c>
      <c r="G114" s="3" t="str">
        <f aca="false">Raw_Data!G114</f>
        <v>No</v>
      </c>
      <c r="H114" s="3" t="n">
        <f aca="false">Raw_Data!H114</f>
        <v>0</v>
      </c>
      <c r="I114" s="3" t="n">
        <f aca="false">Raw_Data!I114</f>
        <v>0</v>
      </c>
      <c r="J114" s="3" t="n">
        <f aca="false">Raw_Data!J114</f>
        <v>0</v>
      </c>
      <c r="K114" s="3" t="n">
        <f aca="false">Raw_Data!K114</f>
        <v>0</v>
      </c>
      <c r="L114" s="3" t="n">
        <f aca="false">Raw_Data!L114</f>
        <v>2</v>
      </c>
      <c r="M114" s="3" t="str">
        <f aca="false">Raw_Data!M114</f>
        <v>High</v>
      </c>
      <c r="N114" s="3" t="str">
        <f aca="false">Raw_Data!N114</f>
        <v>Fixed Deposit</v>
      </c>
      <c r="O114" s="3" t="n">
        <f aca="false">Raw_Data!O114</f>
        <v>3</v>
      </c>
      <c r="P114" s="3" t="n">
        <f aca="false">Raw_Data!P114</f>
        <v>9</v>
      </c>
      <c r="Q114" s="3" t="str">
        <f aca="false">IF(OR(B114="",B114=0),"Unknown",IF(B114&lt;=25,"18-25",IF(B114&lt;=35,"26-35",IF(B114&lt;=45,"36-45","46+"))))</f>
        <v>36-45</v>
      </c>
      <c r="R114" s="3" t="n">
        <f aca="false">IF(F114="Below 20,000",10000,IF(F114="20,000-40,000",30000,IF(F114="40,000-60,000",50000,IF(F114="60,000-80,000",70000,IF(F114="Above 80,000",100000,0)))))</f>
        <v>50000</v>
      </c>
      <c r="S114" s="3" t="n">
        <f aca="false">IF(G114="Yes",1,0)</f>
        <v>0</v>
      </c>
    </row>
    <row r="115" customFormat="false" ht="15" hidden="false" customHeight="true" outlineLevel="0" collapsed="false">
      <c r="A115" s="4" t="str">
        <f aca="false">Raw_Data!A115</f>
        <v>R114</v>
      </c>
      <c r="B115" s="4" t="n">
        <f aca="false">Raw_Data!B115</f>
        <v>0</v>
      </c>
      <c r="C115" s="4" t="str">
        <f aca="false">Raw_Data!C115</f>
        <v>Female</v>
      </c>
      <c r="D115" s="4" t="str">
        <f aca="false">Raw_Data!D115</f>
        <v>Jaipur</v>
      </c>
      <c r="E115" s="4" t="str">
        <f aca="false">Raw_Data!E115</f>
        <v>Homemaker</v>
      </c>
      <c r="F115" s="4" t="str">
        <f aca="false">Raw_Data!F115</f>
        <v>40,000-60,000</v>
      </c>
      <c r="G115" s="4" t="str">
        <f aca="false">Raw_Data!G115</f>
        <v>No</v>
      </c>
      <c r="H115" s="4" t="n">
        <f aca="false">Raw_Data!H115</f>
        <v>0</v>
      </c>
      <c r="I115" s="4" t="n">
        <f aca="false">Raw_Data!I115</f>
        <v>0</v>
      </c>
      <c r="J115" s="4" t="n">
        <f aca="false">Raw_Data!J115</f>
        <v>0</v>
      </c>
      <c r="K115" s="4" t="n">
        <f aca="false">Raw_Data!K115</f>
        <v>0</v>
      </c>
      <c r="L115" s="4" t="n">
        <f aca="false">Raw_Data!L115</f>
        <v>1</v>
      </c>
      <c r="M115" s="4" t="str">
        <f aca="false">Raw_Data!M115</f>
        <v>Medium</v>
      </c>
      <c r="N115" s="4" t="str">
        <f aca="false">Raw_Data!N115</f>
        <v>Digital Gold</v>
      </c>
      <c r="O115" s="4" t="n">
        <f aca="false">Raw_Data!O115</f>
        <v>1</v>
      </c>
      <c r="P115" s="4" t="n">
        <f aca="false">Raw_Data!P115</f>
        <v>2</v>
      </c>
      <c r="Q115" s="4" t="str">
        <f aca="false">IF(OR(B115="",B115=0),"Unknown",IF(B115&lt;=25,"18-25",IF(B115&lt;=35,"26-35",IF(B115&lt;=45,"36-45","46+"))))</f>
        <v>Unknown</v>
      </c>
      <c r="R115" s="4" t="n">
        <f aca="false">IF(F115="Below 20,000",10000,IF(F115="20,000-40,000",30000,IF(F115="40,000-60,000",50000,IF(F115="60,000-80,000",70000,IF(F115="Above 80,000",100000,0)))))</f>
        <v>50000</v>
      </c>
      <c r="S115" s="4" t="n">
        <f aca="false">IF(G115="Yes",1,0)</f>
        <v>0</v>
      </c>
    </row>
    <row r="116" customFormat="false" ht="15" hidden="false" customHeight="true" outlineLevel="0" collapsed="false">
      <c r="A116" s="3" t="str">
        <f aca="false">Raw_Data!A116</f>
        <v>R115</v>
      </c>
      <c r="B116" s="3" t="n">
        <f aca="false">Raw_Data!B116</f>
        <v>59</v>
      </c>
      <c r="C116" s="3" t="str">
        <f aca="false">Raw_Data!C116</f>
        <v>Female</v>
      </c>
      <c r="D116" s="3" t="str">
        <f aca="false">Raw_Data!D116</f>
        <v>Ahmedabad</v>
      </c>
      <c r="E116" s="3" t="str">
        <f aca="false">Raw_Data!E116</f>
        <v>Freelancer</v>
      </c>
      <c r="F116" s="3" t="str">
        <f aca="false">Raw_Data!F116</f>
        <v>Below 20,000</v>
      </c>
      <c r="G116" s="3" t="str">
        <f aca="false">Raw_Data!G116</f>
        <v>No</v>
      </c>
      <c r="H116" s="3" t="n">
        <f aca="false">Raw_Data!H116</f>
        <v>0</v>
      </c>
      <c r="I116" s="3" t="n">
        <f aca="false">Raw_Data!I116</f>
        <v>0</v>
      </c>
      <c r="J116" s="3" t="n">
        <f aca="false">Raw_Data!J116</f>
        <v>0</v>
      </c>
      <c r="K116" s="3" t="n">
        <f aca="false">Raw_Data!K116</f>
        <v>0</v>
      </c>
      <c r="L116" s="3" t="n">
        <f aca="false">Raw_Data!L116</f>
        <v>3</v>
      </c>
      <c r="M116" s="3" t="str">
        <f aca="false">Raw_Data!M116</f>
        <v>Medium</v>
      </c>
      <c r="N116" s="3" t="str">
        <f aca="false">Raw_Data!N116</f>
        <v>Mutual Funds</v>
      </c>
      <c r="O116" s="3" t="n">
        <f aca="false">Raw_Data!O116</f>
        <v>1</v>
      </c>
      <c r="P116" s="3" t="n">
        <f aca="false">Raw_Data!P116</f>
        <v>6</v>
      </c>
      <c r="Q116" s="3" t="str">
        <f aca="false">IF(OR(B116="",B116=0),"Unknown",IF(B116&lt;=25,"18-25",IF(B116&lt;=35,"26-35",IF(B116&lt;=45,"36-45","46+"))))</f>
        <v>46+</v>
      </c>
      <c r="R116" s="3" t="n">
        <f aca="false">IF(F116="Below 20,000",10000,IF(F116="20,000-40,000",30000,IF(F116="40,000-60,000",50000,IF(F116="60,000-80,000",70000,IF(F116="Above 80,000",100000,0)))))</f>
        <v>10000</v>
      </c>
      <c r="S116" s="3" t="n">
        <f aca="false">IF(G116="Yes",1,0)</f>
        <v>0</v>
      </c>
    </row>
    <row r="117" customFormat="false" ht="15" hidden="false" customHeight="true" outlineLevel="0" collapsed="false">
      <c r="A117" s="4" t="str">
        <f aca="false">Raw_Data!A117</f>
        <v>R116</v>
      </c>
      <c r="B117" s="4" t="n">
        <f aca="false">Raw_Data!B117</f>
        <v>21</v>
      </c>
      <c r="C117" s="4" t="str">
        <f aca="false">Raw_Data!C117</f>
        <v>Female</v>
      </c>
      <c r="D117" s="4" t="str">
        <f aca="false">Raw_Data!D117</f>
        <v>Lucknow</v>
      </c>
      <c r="E117" s="4" t="str">
        <f aca="false">Raw_Data!E117</f>
        <v>Government Employee</v>
      </c>
      <c r="F117" s="4" t="str">
        <f aca="false">Raw_Data!F117</f>
        <v>60,000-80,000</v>
      </c>
      <c r="G117" s="4" t="str">
        <f aca="false">Raw_Data!G117</f>
        <v>Yes</v>
      </c>
      <c r="H117" s="4" t="str">
        <f aca="false">Raw_Data!H117</f>
        <v>Groww</v>
      </c>
      <c r="I117" s="4" t="str">
        <f aca="false">Raw_Data!I117</f>
        <v>Weekly</v>
      </c>
      <c r="J117" s="4" t="n">
        <f aca="false">Raw_Data!J117</f>
        <v>0</v>
      </c>
      <c r="K117" s="4" t="str">
        <f aca="false">Raw_Data!K117</f>
        <v>Investment</v>
      </c>
      <c r="L117" s="4" t="n">
        <f aca="false">Raw_Data!L117</f>
        <v>0</v>
      </c>
      <c r="M117" s="4" t="str">
        <f aca="false">Raw_Data!M117</f>
        <v>Medium</v>
      </c>
      <c r="N117" s="4" t="str">
        <f aca="false">Raw_Data!N117</f>
        <v>Digital Gold</v>
      </c>
      <c r="O117" s="4" t="n">
        <f aca="false">Raw_Data!O117</f>
        <v>4</v>
      </c>
      <c r="P117" s="4" t="n">
        <f aca="false">Raw_Data!P117</f>
        <v>2</v>
      </c>
      <c r="Q117" s="4" t="str">
        <f aca="false">IF(OR(B117="",B117=0),"Unknown",IF(B117&lt;=25,"18-25",IF(B117&lt;=35,"26-35",IF(B117&lt;=45,"36-45","46+"))))</f>
        <v>18-25</v>
      </c>
      <c r="R117" s="4" t="n">
        <f aca="false">IF(F117="Below 20,000",10000,IF(F117="20,000-40,000",30000,IF(F117="40,000-60,000",50000,IF(F117="60,000-80,000",70000,IF(F117="Above 80,000",100000,0)))))</f>
        <v>70000</v>
      </c>
      <c r="S117" s="4" t="n">
        <f aca="false">IF(G117="Yes",1,0)</f>
        <v>1</v>
      </c>
    </row>
    <row r="118" customFormat="false" ht="15" hidden="false" customHeight="true" outlineLevel="0" collapsed="false">
      <c r="A118" s="3" t="str">
        <f aca="false">Raw_Data!A118</f>
        <v>R117</v>
      </c>
      <c r="B118" s="3" t="n">
        <f aca="false">Raw_Data!B118</f>
        <v>46</v>
      </c>
      <c r="C118" s="3" t="str">
        <f aca="false">Raw_Data!C118</f>
        <v>Male</v>
      </c>
      <c r="D118" s="3" t="str">
        <f aca="false">Raw_Data!D118</f>
        <v>Delhi</v>
      </c>
      <c r="E118" s="3" t="str">
        <f aca="false">Raw_Data!E118</f>
        <v>Government Employee</v>
      </c>
      <c r="F118" s="3" t="str">
        <f aca="false">Raw_Data!F118</f>
        <v>40,000-60,000</v>
      </c>
      <c r="G118" s="3" t="str">
        <f aca="false">Raw_Data!G118</f>
        <v>No</v>
      </c>
      <c r="H118" s="3" t="str">
        <f aca="false">Raw_Data!H118</f>
        <v>Groww</v>
      </c>
      <c r="I118" s="3" t="n">
        <f aca="false">Raw_Data!I118</f>
        <v>0</v>
      </c>
      <c r="J118" s="3" t="n">
        <f aca="false">Raw_Data!J118</f>
        <v>0</v>
      </c>
      <c r="K118" s="3" t="n">
        <f aca="false">Raw_Data!K118</f>
        <v>0</v>
      </c>
      <c r="L118" s="3" t="n">
        <f aca="false">Raw_Data!L118</f>
        <v>3</v>
      </c>
      <c r="M118" s="3" t="str">
        <f aca="false">Raw_Data!M118</f>
        <v>Medium</v>
      </c>
      <c r="N118" s="3" t="str">
        <f aca="false">Raw_Data!N118</f>
        <v>Fixed Deposit</v>
      </c>
      <c r="O118" s="3" t="n">
        <f aca="false">Raw_Data!O118</f>
        <v>2</v>
      </c>
      <c r="P118" s="3" t="n">
        <f aca="false">Raw_Data!P118</f>
        <v>3</v>
      </c>
      <c r="Q118" s="3" t="str">
        <f aca="false">IF(OR(B118="",B118=0),"Unknown",IF(B118&lt;=25,"18-25",IF(B118&lt;=35,"26-35",IF(B118&lt;=45,"36-45","46+"))))</f>
        <v>46+</v>
      </c>
      <c r="R118" s="3" t="n">
        <f aca="false">IF(F118="Below 20,000",10000,IF(F118="20,000-40,000",30000,IF(F118="40,000-60,000",50000,IF(F118="60,000-80,000",70000,IF(F118="Above 80,000",100000,0)))))</f>
        <v>50000</v>
      </c>
      <c r="S118" s="3" t="n">
        <f aca="false">IF(G118="Yes",1,0)</f>
        <v>0</v>
      </c>
    </row>
    <row r="119" customFormat="false" ht="15" hidden="false" customHeight="true" outlineLevel="0" collapsed="false">
      <c r="A119" s="4" t="str">
        <f aca="false">Raw_Data!A119</f>
        <v>R118</v>
      </c>
      <c r="B119" s="4" t="n">
        <f aca="false">Raw_Data!B119</f>
        <v>56</v>
      </c>
      <c r="C119" s="4" t="str">
        <f aca="false">Raw_Data!C119</f>
        <v>Male</v>
      </c>
      <c r="D119" s="4" t="str">
        <f aca="false">Raw_Data!D119</f>
        <v>Ahmedabad</v>
      </c>
      <c r="E119" s="4" t="str">
        <f aca="false">Raw_Data!E119</f>
        <v>Salaried</v>
      </c>
      <c r="F119" s="4" t="str">
        <f aca="false">Raw_Data!F119</f>
        <v>40,000-60,000</v>
      </c>
      <c r="G119" s="4" t="str">
        <f aca="false">Raw_Data!G119</f>
        <v>No</v>
      </c>
      <c r="H119" s="4" t="n">
        <f aca="false">Raw_Data!H119</f>
        <v>0</v>
      </c>
      <c r="I119" s="4" t="n">
        <f aca="false">Raw_Data!I119</f>
        <v>0</v>
      </c>
      <c r="J119" s="4" t="n">
        <f aca="false">Raw_Data!J119</f>
        <v>0</v>
      </c>
      <c r="K119" s="4" t="n">
        <f aca="false">Raw_Data!K119</f>
        <v>0</v>
      </c>
      <c r="L119" s="4" t="n">
        <f aca="false">Raw_Data!L119</f>
        <v>2</v>
      </c>
      <c r="M119" s="4" t="str">
        <f aca="false">Raw_Data!M119</f>
        <v>High</v>
      </c>
      <c r="N119" s="4" t="str">
        <f aca="false">Raw_Data!N119</f>
        <v>Digital Gold</v>
      </c>
      <c r="O119" s="4" t="n">
        <f aca="false">Raw_Data!O119</f>
        <v>5</v>
      </c>
      <c r="P119" s="4" t="n">
        <f aca="false">Raw_Data!P119</f>
        <v>7</v>
      </c>
      <c r="Q119" s="4" t="str">
        <f aca="false">IF(OR(B119="",B119=0),"Unknown",IF(B119&lt;=25,"18-25",IF(B119&lt;=35,"26-35",IF(B119&lt;=45,"36-45","46+"))))</f>
        <v>46+</v>
      </c>
      <c r="R119" s="4" t="n">
        <f aca="false">IF(F119="Below 20,000",10000,IF(F119="20,000-40,000",30000,IF(F119="40,000-60,000",50000,IF(F119="60,000-80,000",70000,IF(F119="Above 80,000",100000,0)))))</f>
        <v>50000</v>
      </c>
      <c r="S119" s="4" t="n">
        <f aca="false">IF(G119="Yes",1,0)</f>
        <v>0</v>
      </c>
    </row>
    <row r="120" customFormat="false" ht="15" hidden="false" customHeight="true" outlineLevel="0" collapsed="false">
      <c r="A120" s="3" t="str">
        <f aca="false">Raw_Data!A120</f>
        <v>R119</v>
      </c>
      <c r="B120" s="3" t="n">
        <f aca="false">Raw_Data!B120</f>
        <v>52</v>
      </c>
      <c r="C120" s="3" t="str">
        <f aca="false">Raw_Data!C120</f>
        <v>Female</v>
      </c>
      <c r="D120" s="3" t="str">
        <f aca="false">Raw_Data!D120</f>
        <v>Pune</v>
      </c>
      <c r="E120" s="3" t="str">
        <f aca="false">Raw_Data!E120</f>
        <v>Homemaker</v>
      </c>
      <c r="F120" s="3" t="str">
        <f aca="false">Raw_Data!F120</f>
        <v>Above 80,000</v>
      </c>
      <c r="G120" s="3" t="str">
        <f aca="false">Raw_Data!G120</f>
        <v>Yes</v>
      </c>
      <c r="H120" s="3" t="str">
        <f aca="false">Raw_Data!H120</f>
        <v>Google Pay</v>
      </c>
      <c r="I120" s="3" t="str">
        <f aca="false">Raw_Data!I120</f>
        <v>Daily</v>
      </c>
      <c r="J120" s="3" t="n">
        <f aca="false">Raw_Data!J120</f>
        <v>0</v>
      </c>
      <c r="K120" s="3" t="str">
        <f aca="false">Raw_Data!K120</f>
        <v>Investment</v>
      </c>
      <c r="L120" s="3" t="n">
        <f aca="false">Raw_Data!L120</f>
        <v>1</v>
      </c>
      <c r="M120" s="3" t="str">
        <f aca="false">Raw_Data!M120</f>
        <v>High</v>
      </c>
      <c r="N120" s="3" t="str">
        <f aca="false">Raw_Data!N120</f>
        <v>Digital Gold</v>
      </c>
      <c r="O120" s="3" t="n">
        <f aca="false">Raw_Data!O120</f>
        <v>4</v>
      </c>
      <c r="P120" s="3" t="n">
        <f aca="false">Raw_Data!P120</f>
        <v>8</v>
      </c>
      <c r="Q120" s="3" t="str">
        <f aca="false">IF(OR(B120="",B120=0),"Unknown",IF(B120&lt;=25,"18-25",IF(B120&lt;=35,"26-35",IF(B120&lt;=45,"36-45","46+"))))</f>
        <v>46+</v>
      </c>
      <c r="R120" s="3" t="n">
        <f aca="false">IF(F120="Below 20,000",10000,IF(F120="20,000-40,000",30000,IF(F120="40,000-60,000",50000,IF(F120="60,000-80,000",70000,IF(F120="Above 80,000",100000,0)))))</f>
        <v>100000</v>
      </c>
      <c r="S120" s="3" t="n">
        <f aca="false">IF(G120="Yes",1,0)</f>
        <v>1</v>
      </c>
    </row>
    <row r="121" customFormat="false" ht="15" hidden="false" customHeight="true" outlineLevel="0" collapsed="false">
      <c r="A121" s="4" t="str">
        <f aca="false">Raw_Data!A121</f>
        <v>R120</v>
      </c>
      <c r="B121" s="4" t="n">
        <f aca="false">Raw_Data!B121</f>
        <v>35</v>
      </c>
      <c r="C121" s="4" t="str">
        <f aca="false">Raw_Data!C121</f>
        <v>Male</v>
      </c>
      <c r="D121" s="4" t="str">
        <f aca="false">Raw_Data!D121</f>
        <v>Chennai</v>
      </c>
      <c r="E121" s="4" t="str">
        <f aca="false">Raw_Data!E121</f>
        <v>Homemaker</v>
      </c>
      <c r="F121" s="4" t="str">
        <f aca="false">Raw_Data!F121</f>
        <v>Above 80,000</v>
      </c>
      <c r="G121" s="4" t="str">
        <f aca="false">Raw_Data!G121</f>
        <v>Yes</v>
      </c>
      <c r="H121" s="4" t="str">
        <f aca="false">Raw_Data!H121</f>
        <v>Zerodha</v>
      </c>
      <c r="I121" s="4" t="str">
        <f aca="false">Raw_Data!I121</f>
        <v>Rarely</v>
      </c>
      <c r="J121" s="4" t="n">
        <f aca="false">Raw_Data!J121</f>
        <v>11069</v>
      </c>
      <c r="K121" s="4" t="str">
        <f aca="false">Raw_Data!K121</f>
        <v>Investment</v>
      </c>
      <c r="L121" s="4" t="n">
        <f aca="false">Raw_Data!L121</f>
        <v>1</v>
      </c>
      <c r="M121" s="4" t="str">
        <f aca="false">Raw_Data!M121</f>
        <v>Medium</v>
      </c>
      <c r="N121" s="4" t="str">
        <f aca="false">Raw_Data!N121</f>
        <v>Mutual Funds</v>
      </c>
      <c r="O121" s="4" t="n">
        <f aca="false">Raw_Data!O121</f>
        <v>2</v>
      </c>
      <c r="P121" s="4" t="n">
        <f aca="false">Raw_Data!P121</f>
        <v>3</v>
      </c>
      <c r="Q121" s="4" t="str">
        <f aca="false">IF(OR(B121="",B121=0),"Unknown",IF(B121&lt;=25,"18-25",IF(B121&lt;=35,"26-35",IF(B121&lt;=45,"36-45","46+"))))</f>
        <v>26-35</v>
      </c>
      <c r="R121" s="4" t="n">
        <f aca="false">IF(F121="Below 20,000",10000,IF(F121="20,000-40,000",30000,IF(F121="40,000-60,000",50000,IF(F121="60,000-80,000",70000,IF(F121="Above 80,000",100000,0)))))</f>
        <v>100000</v>
      </c>
      <c r="S121" s="4" t="n">
        <f aca="false">IF(G121="Yes",1,0)</f>
        <v>1</v>
      </c>
    </row>
    <row r="122" customFormat="false" ht="15" hidden="false" customHeight="true" outlineLevel="0" collapsed="false">
      <c r="A122" s="3" t="str">
        <f aca="false">Raw_Data!A122</f>
        <v>R121</v>
      </c>
      <c r="B122" s="3" t="n">
        <f aca="false">Raw_Data!B122</f>
        <v>49</v>
      </c>
      <c r="C122" s="3" t="str">
        <f aca="false">Raw_Data!C122</f>
        <v>Female</v>
      </c>
      <c r="D122" s="3" t="str">
        <f aca="false">Raw_Data!D122</f>
        <v>Jaipur</v>
      </c>
      <c r="E122" s="3" t="str">
        <f aca="false">Raw_Data!E122</f>
        <v>Freelancer</v>
      </c>
      <c r="F122" s="3" t="str">
        <f aca="false">Raw_Data!F122</f>
        <v>60,000-80,000</v>
      </c>
      <c r="G122" s="3" t="str">
        <f aca="false">Raw_Data!G122</f>
        <v>Yes</v>
      </c>
      <c r="H122" s="3" t="str">
        <f aca="false">Raw_Data!H122</f>
        <v>Others</v>
      </c>
      <c r="I122" s="3" t="str">
        <f aca="false">Raw_Data!I122</f>
        <v>Quarterly</v>
      </c>
      <c r="J122" s="3" t="n">
        <f aca="false">Raw_Data!J122</f>
        <v>7799</v>
      </c>
      <c r="K122" s="3" t="str">
        <f aca="false">Raw_Data!K122</f>
        <v>Savings</v>
      </c>
      <c r="L122" s="3" t="n">
        <f aca="false">Raw_Data!L122</f>
        <v>2</v>
      </c>
      <c r="M122" s="3" t="str">
        <f aca="false">Raw_Data!M122</f>
        <v>Low</v>
      </c>
      <c r="N122" s="3" t="str">
        <f aca="false">Raw_Data!N122</f>
        <v>Digital Gold</v>
      </c>
      <c r="O122" s="3" t="n">
        <f aca="false">Raw_Data!O122</f>
        <v>3</v>
      </c>
      <c r="P122" s="3" t="n">
        <f aca="false">Raw_Data!P122</f>
        <v>4</v>
      </c>
      <c r="Q122" s="3" t="str">
        <f aca="false">IF(OR(B122="",B122=0),"Unknown",IF(B122&lt;=25,"18-25",IF(B122&lt;=35,"26-35",IF(B122&lt;=45,"36-45","46+"))))</f>
        <v>46+</v>
      </c>
      <c r="R122" s="3" t="n">
        <f aca="false">IF(F122="Below 20,000",10000,IF(F122="20,000-40,000",30000,IF(F122="40,000-60,000",50000,IF(F122="60,000-80,000",70000,IF(F122="Above 80,000",100000,0)))))</f>
        <v>70000</v>
      </c>
      <c r="S122" s="3" t="n">
        <f aca="false">IF(G122="Yes",1,0)</f>
        <v>1</v>
      </c>
    </row>
    <row r="123" customFormat="false" ht="15" hidden="false" customHeight="true" outlineLevel="0" collapsed="false">
      <c r="A123" s="4" t="str">
        <f aca="false">Raw_Data!A123</f>
        <v>R122</v>
      </c>
      <c r="B123" s="4" t="n">
        <f aca="false">Raw_Data!B123</f>
        <v>37</v>
      </c>
      <c r="C123" s="4" t="str">
        <f aca="false">Raw_Data!C123</f>
        <v>Male</v>
      </c>
      <c r="D123" s="4" t="str">
        <f aca="false">Raw_Data!D123</f>
        <v>Delhi</v>
      </c>
      <c r="E123" s="4" t="str">
        <f aca="false">Raw_Data!E123</f>
        <v>Freelancer</v>
      </c>
      <c r="F123" s="4" t="str">
        <f aca="false">Raw_Data!F123</f>
        <v>20,000-40,000</v>
      </c>
      <c r="G123" s="4" t="str">
        <f aca="false">Raw_Data!G123</f>
        <v>No</v>
      </c>
      <c r="H123" s="4" t="n">
        <f aca="false">Raw_Data!H123</f>
        <v>0</v>
      </c>
      <c r="I123" s="4" t="n">
        <f aca="false">Raw_Data!I123</f>
        <v>0</v>
      </c>
      <c r="J123" s="4" t="n">
        <f aca="false">Raw_Data!J123</f>
        <v>0</v>
      </c>
      <c r="K123" s="4" t="n">
        <f aca="false">Raw_Data!K123</f>
        <v>0</v>
      </c>
      <c r="L123" s="4" t="n">
        <f aca="false">Raw_Data!L123</f>
        <v>1</v>
      </c>
      <c r="M123" s="4" t="str">
        <f aca="false">Raw_Data!M123</f>
        <v>High</v>
      </c>
      <c r="N123" s="4" t="str">
        <f aca="false">Raw_Data!N123</f>
        <v>Fixed Deposit</v>
      </c>
      <c r="O123" s="4" t="n">
        <f aca="false">Raw_Data!O123</f>
        <v>4</v>
      </c>
      <c r="P123" s="4" t="n">
        <f aca="false">Raw_Data!P123</f>
        <v>9</v>
      </c>
      <c r="Q123" s="4" t="str">
        <f aca="false">IF(OR(B123="",B123=0),"Unknown",IF(B123&lt;=25,"18-25",IF(B123&lt;=35,"26-35",IF(B123&lt;=45,"36-45","46+"))))</f>
        <v>36-45</v>
      </c>
      <c r="R123" s="4" t="n">
        <f aca="false">IF(F123="Below 20,000",10000,IF(F123="20,000-40,000",30000,IF(F123="40,000-60,000",50000,IF(F123="60,000-80,000",70000,IF(F123="Above 80,000",100000,0)))))</f>
        <v>30000</v>
      </c>
      <c r="S123" s="4" t="n">
        <f aca="false">IF(G123="Yes",1,0)</f>
        <v>0</v>
      </c>
    </row>
    <row r="124" customFormat="false" ht="15" hidden="false" customHeight="true" outlineLevel="0" collapsed="false">
      <c r="A124" s="3" t="str">
        <f aca="false">Raw_Data!A124</f>
        <v>R123</v>
      </c>
      <c r="B124" s="3" t="n">
        <f aca="false">Raw_Data!B124</f>
        <v>38</v>
      </c>
      <c r="C124" s="3" t="str">
        <f aca="false">Raw_Data!C124</f>
        <v>Female</v>
      </c>
      <c r="D124" s="3" t="str">
        <f aca="false">Raw_Data!D124</f>
        <v>Pune</v>
      </c>
      <c r="E124" s="3" t="str">
        <f aca="false">Raw_Data!E124</f>
        <v>Salaried</v>
      </c>
      <c r="F124" s="3" t="str">
        <f aca="false">Raw_Data!F124</f>
        <v>60,000-80,000</v>
      </c>
      <c r="G124" s="3" t="str">
        <f aca="false">Raw_Data!G124</f>
        <v>No</v>
      </c>
      <c r="H124" s="3" t="n">
        <f aca="false">Raw_Data!H124</f>
        <v>0</v>
      </c>
      <c r="I124" s="3" t="n">
        <f aca="false">Raw_Data!I124</f>
        <v>0</v>
      </c>
      <c r="J124" s="3" t="n">
        <f aca="false">Raw_Data!J124</f>
        <v>0</v>
      </c>
      <c r="K124" s="3" t="n">
        <f aca="false">Raw_Data!K124</f>
        <v>0</v>
      </c>
      <c r="L124" s="3" t="n">
        <f aca="false">Raw_Data!L124</f>
        <v>2</v>
      </c>
      <c r="M124" s="3" t="str">
        <f aca="false">Raw_Data!M124</f>
        <v>Medium</v>
      </c>
      <c r="N124" s="3" t="str">
        <f aca="false">Raw_Data!N124</f>
        <v>Digital Gold</v>
      </c>
      <c r="O124" s="3" t="n">
        <f aca="false">Raw_Data!O124</f>
        <v>3</v>
      </c>
      <c r="P124" s="3" t="n">
        <f aca="false">Raw_Data!P124</f>
        <v>3</v>
      </c>
      <c r="Q124" s="3" t="str">
        <f aca="false">IF(OR(B124="",B124=0),"Unknown",IF(B124&lt;=25,"18-25",IF(B124&lt;=35,"26-35",IF(B124&lt;=45,"36-45","46+"))))</f>
        <v>36-45</v>
      </c>
      <c r="R124" s="3" t="n">
        <f aca="false">IF(F124="Below 20,000",10000,IF(F124="20,000-40,000",30000,IF(F124="40,000-60,000",50000,IF(F124="60,000-80,000",70000,IF(F124="Above 80,000",100000,0)))))</f>
        <v>70000</v>
      </c>
      <c r="S124" s="3" t="n">
        <f aca="false">IF(G124="Yes",1,0)</f>
        <v>0</v>
      </c>
    </row>
    <row r="125" customFormat="false" ht="15" hidden="false" customHeight="true" outlineLevel="0" collapsed="false">
      <c r="A125" s="4" t="str">
        <f aca="false">Raw_Data!A125</f>
        <v>R124</v>
      </c>
      <c r="B125" s="4" t="n">
        <f aca="false">Raw_Data!B125</f>
        <v>21</v>
      </c>
      <c r="C125" s="4" t="str">
        <f aca="false">Raw_Data!C125</f>
        <v>Female</v>
      </c>
      <c r="D125" s="4" t="str">
        <f aca="false">Raw_Data!D125</f>
        <v>Bangalore</v>
      </c>
      <c r="E125" s="4" t="str">
        <f aca="false">Raw_Data!E125</f>
        <v>Freelancer</v>
      </c>
      <c r="F125" s="4" t="n">
        <f aca="false">Raw_Data!F125</f>
        <v>0</v>
      </c>
      <c r="G125" s="4" t="str">
        <f aca="false">Raw_Data!G125</f>
        <v>No</v>
      </c>
      <c r="H125" s="4" t="n">
        <f aca="false">Raw_Data!H125</f>
        <v>0</v>
      </c>
      <c r="I125" s="4" t="n">
        <f aca="false">Raw_Data!I125</f>
        <v>0</v>
      </c>
      <c r="J125" s="4" t="n">
        <f aca="false">Raw_Data!J125</f>
        <v>0</v>
      </c>
      <c r="K125" s="4" t="n">
        <f aca="false">Raw_Data!K125</f>
        <v>0</v>
      </c>
      <c r="L125" s="4" t="n">
        <f aca="false">Raw_Data!L125</f>
        <v>1</v>
      </c>
      <c r="M125" s="4" t="str">
        <f aca="false">Raw_Data!M125</f>
        <v>Low</v>
      </c>
      <c r="N125" s="4" t="str">
        <f aca="false">Raw_Data!N125</f>
        <v>Physical Gold</v>
      </c>
      <c r="O125" s="4" t="n">
        <f aca="false">Raw_Data!O125</f>
        <v>4</v>
      </c>
      <c r="P125" s="4" t="n">
        <f aca="false">Raw_Data!P125</f>
        <v>8</v>
      </c>
      <c r="Q125" s="4" t="str">
        <f aca="false">IF(OR(B125="",B125=0),"Unknown",IF(B125&lt;=25,"18-25",IF(B125&lt;=35,"26-35",IF(B125&lt;=45,"36-45","46+"))))</f>
        <v>18-25</v>
      </c>
      <c r="R125" s="4" t="n">
        <f aca="false">IF(F125="Below 20,000",10000,IF(F125="20,000-40,000",30000,IF(F125="40,000-60,000",50000,IF(F125="60,000-80,000",70000,IF(F125="Above 80,000",100000,0)))))</f>
        <v>0</v>
      </c>
      <c r="S125" s="4" t="n">
        <f aca="false">IF(G125="Yes",1,0)</f>
        <v>0</v>
      </c>
    </row>
    <row r="126" customFormat="false" ht="15" hidden="false" customHeight="true" outlineLevel="0" collapsed="false">
      <c r="A126" s="3" t="str">
        <f aca="false">Raw_Data!A126</f>
        <v>R125</v>
      </c>
      <c r="B126" s="3" t="n">
        <f aca="false">Raw_Data!B126</f>
        <v>34</v>
      </c>
      <c r="C126" s="3" t="str">
        <f aca="false">Raw_Data!C126</f>
        <v>Male</v>
      </c>
      <c r="D126" s="3" t="str">
        <f aca="false">Raw_Data!D126</f>
        <v>Bangalore</v>
      </c>
      <c r="E126" s="3" t="str">
        <f aca="false">Raw_Data!E126</f>
        <v>Student</v>
      </c>
      <c r="F126" s="3" t="str">
        <f aca="false">Raw_Data!F126</f>
        <v>60,000-80,000</v>
      </c>
      <c r="G126" s="3" t="str">
        <f aca="false">Raw_Data!G126</f>
        <v>Yes</v>
      </c>
      <c r="H126" s="3" t="str">
        <f aca="false">Raw_Data!H126</f>
        <v>Others</v>
      </c>
      <c r="I126" s="3" t="str">
        <f aca="false">Raw_Data!I126</f>
        <v>Monthly</v>
      </c>
      <c r="J126" s="3" t="n">
        <f aca="false">Raw_Data!J126</f>
        <v>8400</v>
      </c>
      <c r="K126" s="3" t="str">
        <f aca="false">Raw_Data!K126</f>
        <v>Gifting</v>
      </c>
      <c r="L126" s="3" t="n">
        <f aca="false">Raw_Data!L126</f>
        <v>5</v>
      </c>
      <c r="M126" s="3" t="str">
        <f aca="false">Raw_Data!M126</f>
        <v>High</v>
      </c>
      <c r="N126" s="3" t="str">
        <f aca="false">Raw_Data!N126</f>
        <v>Digital Gold</v>
      </c>
      <c r="O126" s="3" t="n">
        <f aca="false">Raw_Data!O126</f>
        <v>1</v>
      </c>
      <c r="P126" s="3" t="n">
        <f aca="false">Raw_Data!P126</f>
        <v>5</v>
      </c>
      <c r="Q126" s="3" t="str">
        <f aca="false">IF(OR(B126="",B126=0),"Unknown",IF(B126&lt;=25,"18-25",IF(B126&lt;=35,"26-35",IF(B126&lt;=45,"36-45","46+"))))</f>
        <v>26-35</v>
      </c>
      <c r="R126" s="3" t="n">
        <f aca="false">IF(F126="Below 20,000",10000,IF(F126="20,000-40,000",30000,IF(F126="40,000-60,000",50000,IF(F126="60,000-80,000",70000,IF(F126="Above 80,000",100000,0)))))</f>
        <v>70000</v>
      </c>
      <c r="S126" s="3" t="n">
        <f aca="false">IF(G126="Yes",1,0)</f>
        <v>1</v>
      </c>
    </row>
    <row r="127" customFormat="false" ht="15" hidden="false" customHeight="true" outlineLevel="0" collapsed="false">
      <c r="A127" s="4" t="str">
        <f aca="false">Raw_Data!A127</f>
        <v>R126</v>
      </c>
      <c r="B127" s="4" t="n">
        <f aca="false">Raw_Data!B127</f>
        <v>30</v>
      </c>
      <c r="C127" s="4" t="n">
        <f aca="false">Raw_Data!C127</f>
        <v>0</v>
      </c>
      <c r="D127" s="4" t="str">
        <f aca="false">Raw_Data!D127</f>
        <v>Bangalore</v>
      </c>
      <c r="E127" s="4" t="str">
        <f aca="false">Raw_Data!E127</f>
        <v>Salaried</v>
      </c>
      <c r="F127" s="4" t="str">
        <f aca="false">Raw_Data!F127</f>
        <v>20,000-40,000</v>
      </c>
      <c r="G127" s="4" t="str">
        <f aca="false">Raw_Data!G127</f>
        <v>Yes</v>
      </c>
      <c r="H127" s="4" t="str">
        <f aca="false">Raw_Data!H127</f>
        <v>Zerodha</v>
      </c>
      <c r="I127" s="4" t="str">
        <f aca="false">Raw_Data!I127</f>
        <v>Quarterly</v>
      </c>
      <c r="J127" s="4" t="n">
        <f aca="false">Raw_Data!J127</f>
        <v>2792</v>
      </c>
      <c r="K127" s="4" t="str">
        <f aca="false">Raw_Data!K127</f>
        <v>Gifting</v>
      </c>
      <c r="L127" s="4" t="n">
        <f aca="false">Raw_Data!L127</f>
        <v>4</v>
      </c>
      <c r="M127" s="4" t="str">
        <f aca="false">Raw_Data!M127</f>
        <v>Low</v>
      </c>
      <c r="N127" s="4" t="str">
        <f aca="false">Raw_Data!N127</f>
        <v>Digital Gold</v>
      </c>
      <c r="O127" s="4" t="n">
        <f aca="false">Raw_Data!O127</f>
        <v>4</v>
      </c>
      <c r="P127" s="4" t="n">
        <f aca="false">Raw_Data!P127</f>
        <v>9</v>
      </c>
      <c r="Q127" s="4" t="str">
        <f aca="false">IF(OR(B127="",B127=0),"Unknown",IF(B127&lt;=25,"18-25",IF(B127&lt;=35,"26-35",IF(B127&lt;=45,"36-45","46+"))))</f>
        <v>26-35</v>
      </c>
      <c r="R127" s="4" t="n">
        <f aca="false">IF(F127="Below 20,000",10000,IF(F127="20,000-40,000",30000,IF(F127="40,000-60,000",50000,IF(F127="60,000-80,000",70000,IF(F127="Above 80,000",100000,0)))))</f>
        <v>30000</v>
      </c>
      <c r="S127" s="4" t="n">
        <f aca="false">IF(G127="Yes",1,0)</f>
        <v>1</v>
      </c>
    </row>
    <row r="128" customFormat="false" ht="15" hidden="false" customHeight="true" outlineLevel="0" collapsed="false">
      <c r="A128" s="3" t="str">
        <f aca="false">Raw_Data!A128</f>
        <v>R127</v>
      </c>
      <c r="B128" s="3" t="n">
        <f aca="false">Raw_Data!B128</f>
        <v>44</v>
      </c>
      <c r="C128" s="3" t="str">
        <f aca="false">Raw_Data!C128</f>
        <v>Male</v>
      </c>
      <c r="D128" s="3" t="str">
        <f aca="false">Raw_Data!D128</f>
        <v>Ahmedabad</v>
      </c>
      <c r="E128" s="3" t="str">
        <f aca="false">Raw_Data!E128</f>
        <v>Government Employee</v>
      </c>
      <c r="F128" s="3" t="str">
        <f aca="false">Raw_Data!F128</f>
        <v>20,000-40,000</v>
      </c>
      <c r="G128" s="3" t="str">
        <f aca="false">Raw_Data!G128</f>
        <v>No</v>
      </c>
      <c r="H128" s="3" t="n">
        <f aca="false">Raw_Data!H128</f>
        <v>0</v>
      </c>
      <c r="I128" s="3" t="n">
        <f aca="false">Raw_Data!I128</f>
        <v>0</v>
      </c>
      <c r="J128" s="3" t="n">
        <f aca="false">Raw_Data!J128</f>
        <v>0</v>
      </c>
      <c r="K128" s="3" t="n">
        <f aca="false">Raw_Data!K128</f>
        <v>0</v>
      </c>
      <c r="L128" s="3" t="n">
        <f aca="false">Raw_Data!L128</f>
        <v>1</v>
      </c>
      <c r="M128" s="3" t="str">
        <f aca="false">Raw_Data!M128</f>
        <v>Low</v>
      </c>
      <c r="N128" s="3" t="str">
        <f aca="false">Raw_Data!N128</f>
        <v>Digital Gold</v>
      </c>
      <c r="O128" s="3" t="n">
        <f aca="false">Raw_Data!O128</f>
        <v>2</v>
      </c>
      <c r="P128" s="3" t="n">
        <f aca="false">Raw_Data!P128</f>
        <v>8</v>
      </c>
      <c r="Q128" s="3" t="str">
        <f aca="false">IF(OR(B128="",B128=0),"Unknown",IF(B128&lt;=25,"18-25",IF(B128&lt;=35,"26-35",IF(B128&lt;=45,"36-45","46+"))))</f>
        <v>36-45</v>
      </c>
      <c r="R128" s="3" t="n">
        <f aca="false">IF(F128="Below 20,000",10000,IF(F128="20,000-40,000",30000,IF(F128="40,000-60,000",50000,IF(F128="60,000-80,000",70000,IF(F128="Above 80,000",100000,0)))))</f>
        <v>30000</v>
      </c>
      <c r="S128" s="3" t="n">
        <f aca="false">IF(G128="Yes",1,0)</f>
        <v>0</v>
      </c>
    </row>
    <row r="129" customFormat="false" ht="15" hidden="false" customHeight="true" outlineLevel="0" collapsed="false">
      <c r="A129" s="4" t="str">
        <f aca="false">Raw_Data!A129</f>
        <v>R128</v>
      </c>
      <c r="B129" s="4" t="n">
        <f aca="false">Raw_Data!B129</f>
        <v>49</v>
      </c>
      <c r="C129" s="4" t="str">
        <f aca="false">Raw_Data!C129</f>
        <v>Male</v>
      </c>
      <c r="D129" s="4" t="str">
        <f aca="false">Raw_Data!D129</f>
        <v>Bangalore</v>
      </c>
      <c r="E129" s="4" t="str">
        <f aca="false">Raw_Data!E129</f>
        <v>Homemaker</v>
      </c>
      <c r="F129" s="4" t="str">
        <f aca="false">Raw_Data!F129</f>
        <v>Above 80,000</v>
      </c>
      <c r="G129" s="4" t="str">
        <f aca="false">Raw_Data!G129</f>
        <v>Yes</v>
      </c>
      <c r="H129" s="4" t="str">
        <f aca="false">Raw_Data!H129</f>
        <v>MMTC-PAMP</v>
      </c>
      <c r="I129" s="4" t="str">
        <f aca="false">Raw_Data!I129</f>
        <v>Rarely</v>
      </c>
      <c r="J129" s="4" t="n">
        <f aca="false">Raw_Data!J129</f>
        <v>24843</v>
      </c>
      <c r="K129" s="4" t="str">
        <f aca="false">Raw_Data!K129</f>
        <v>Savings</v>
      </c>
      <c r="L129" s="4" t="n">
        <f aca="false">Raw_Data!L129</f>
        <v>2</v>
      </c>
      <c r="M129" s="4" t="str">
        <f aca="false">Raw_Data!M129</f>
        <v>Medium</v>
      </c>
      <c r="N129" s="4" t="str">
        <f aca="false">Raw_Data!N129</f>
        <v>Fixed Deposit</v>
      </c>
      <c r="O129" s="4" t="n">
        <f aca="false">Raw_Data!O129</f>
        <v>1</v>
      </c>
      <c r="P129" s="4" t="n">
        <f aca="false">Raw_Data!P129</f>
        <v>10</v>
      </c>
      <c r="Q129" s="4" t="str">
        <f aca="false">IF(OR(B129="",B129=0),"Unknown",IF(B129&lt;=25,"18-25",IF(B129&lt;=35,"26-35",IF(B129&lt;=45,"36-45","46+"))))</f>
        <v>46+</v>
      </c>
      <c r="R129" s="4" t="n">
        <f aca="false">IF(F129="Below 20,000",10000,IF(F129="20,000-40,000",30000,IF(F129="40,000-60,000",50000,IF(F129="60,000-80,000",70000,IF(F129="Above 80,000",100000,0)))))</f>
        <v>100000</v>
      </c>
      <c r="S129" s="4" t="n">
        <f aca="false">IF(G129="Yes",1,0)</f>
        <v>1</v>
      </c>
    </row>
    <row r="130" customFormat="false" ht="15" hidden="false" customHeight="true" outlineLevel="0" collapsed="false">
      <c r="A130" s="3" t="str">
        <f aca="false">Raw_Data!A130</f>
        <v>R129</v>
      </c>
      <c r="B130" s="3" t="n">
        <f aca="false">Raw_Data!B130</f>
        <v>46</v>
      </c>
      <c r="C130" s="3" t="str">
        <f aca="false">Raw_Data!C130</f>
        <v>Male</v>
      </c>
      <c r="D130" s="3" t="str">
        <f aca="false">Raw_Data!D130</f>
        <v>Jaipur</v>
      </c>
      <c r="E130" s="3" t="str">
        <f aca="false">Raw_Data!E130</f>
        <v>Freelancer</v>
      </c>
      <c r="F130" s="3" t="str">
        <f aca="false">Raw_Data!F130</f>
        <v>20,000-40,000</v>
      </c>
      <c r="G130" s="3" t="str">
        <f aca="false">Raw_Data!G130</f>
        <v>Yes</v>
      </c>
      <c r="H130" s="3" t="str">
        <f aca="false">Raw_Data!H130</f>
        <v>PhonePe</v>
      </c>
      <c r="I130" s="3" t="str">
        <f aca="false">Raw_Data!I130</f>
        <v>Quarterly</v>
      </c>
      <c r="J130" s="3" t="n">
        <f aca="false">Raw_Data!J130</f>
        <v>1544</v>
      </c>
      <c r="K130" s="3" t="str">
        <f aca="false">Raw_Data!K130</f>
        <v>Gifting</v>
      </c>
      <c r="L130" s="3" t="n">
        <f aca="false">Raw_Data!L130</f>
        <v>5</v>
      </c>
      <c r="M130" s="3" t="str">
        <f aca="false">Raw_Data!M130</f>
        <v>Medium</v>
      </c>
      <c r="N130" s="3" t="str">
        <f aca="false">Raw_Data!N130</f>
        <v>Fixed Deposit</v>
      </c>
      <c r="O130" s="3" t="n">
        <f aca="false">Raw_Data!O130</f>
        <v>3</v>
      </c>
      <c r="P130" s="3" t="n">
        <f aca="false">Raw_Data!P130</f>
        <v>7</v>
      </c>
      <c r="Q130" s="3" t="str">
        <f aca="false">IF(OR(B130="",B130=0),"Unknown",IF(B130&lt;=25,"18-25",IF(B130&lt;=35,"26-35",IF(B130&lt;=45,"36-45","46+"))))</f>
        <v>46+</v>
      </c>
      <c r="R130" s="3" t="n">
        <f aca="false">IF(F130="Below 20,000",10000,IF(F130="20,000-40,000",30000,IF(F130="40,000-60,000",50000,IF(F130="60,000-80,000",70000,IF(F130="Above 80,000",100000,0)))))</f>
        <v>30000</v>
      </c>
      <c r="S130" s="3" t="n">
        <f aca="false">IF(G130="Yes",1,0)</f>
        <v>1</v>
      </c>
    </row>
    <row r="131" customFormat="false" ht="15" hidden="false" customHeight="true" outlineLevel="0" collapsed="false">
      <c r="A131" s="4" t="str">
        <f aca="false">Raw_Data!A131</f>
        <v>R130</v>
      </c>
      <c r="B131" s="4" t="n">
        <f aca="false">Raw_Data!B131</f>
        <v>36</v>
      </c>
      <c r="C131" s="4" t="str">
        <f aca="false">Raw_Data!C131</f>
        <v>Female</v>
      </c>
      <c r="D131" s="4" t="str">
        <f aca="false">Raw_Data!D131</f>
        <v>Jaipur</v>
      </c>
      <c r="E131" s="4" t="str">
        <f aca="false">Raw_Data!E131</f>
        <v>Salaried</v>
      </c>
      <c r="F131" s="4" t="str">
        <f aca="false">Raw_Data!F131</f>
        <v>20,000-40,000</v>
      </c>
      <c r="G131" s="4" t="str">
        <f aca="false">Raw_Data!G131</f>
        <v>Yes</v>
      </c>
      <c r="H131" s="4" t="str">
        <f aca="false">Raw_Data!H131</f>
        <v>Zerodha</v>
      </c>
      <c r="I131" s="4" t="str">
        <f aca="false">Raw_Data!I131</f>
        <v>Daily</v>
      </c>
      <c r="J131" s="4" t="n">
        <f aca="false">Raw_Data!J131</f>
        <v>2375</v>
      </c>
      <c r="K131" s="4" t="str">
        <f aca="false">Raw_Data!K131</f>
        <v>Gifting</v>
      </c>
      <c r="L131" s="4" t="n">
        <f aca="false">Raw_Data!L131</f>
        <v>5</v>
      </c>
      <c r="M131" s="4" t="str">
        <f aca="false">Raw_Data!M131</f>
        <v>Low</v>
      </c>
      <c r="N131" s="4" t="str">
        <f aca="false">Raw_Data!N131</f>
        <v>Digital Gold</v>
      </c>
      <c r="O131" s="4" t="n">
        <f aca="false">Raw_Data!O131</f>
        <v>2</v>
      </c>
      <c r="P131" s="4" t="n">
        <f aca="false">Raw_Data!P131</f>
        <v>10</v>
      </c>
      <c r="Q131" s="4" t="str">
        <f aca="false">IF(OR(B131="",B131=0),"Unknown",IF(B131&lt;=25,"18-25",IF(B131&lt;=35,"26-35",IF(B131&lt;=45,"36-45","46+"))))</f>
        <v>36-45</v>
      </c>
      <c r="R131" s="4" t="n">
        <f aca="false">IF(F131="Below 20,000",10000,IF(F131="20,000-40,000",30000,IF(F131="40,000-60,000",50000,IF(F131="60,000-80,000",70000,IF(F131="Above 80,000",100000,0)))))</f>
        <v>30000</v>
      </c>
      <c r="S131" s="4" t="n">
        <f aca="false">IF(G131="Yes",1,0)</f>
        <v>1</v>
      </c>
    </row>
    <row r="132" customFormat="false" ht="15" hidden="false" customHeight="true" outlineLevel="0" collapsed="false">
      <c r="A132" s="3" t="str">
        <f aca="false">Raw_Data!A132</f>
        <v>R131</v>
      </c>
      <c r="B132" s="3" t="n">
        <f aca="false">Raw_Data!B132</f>
        <v>39</v>
      </c>
      <c r="C132" s="3" t="str">
        <f aca="false">Raw_Data!C132</f>
        <v>Male</v>
      </c>
      <c r="D132" s="3" t="str">
        <f aca="false">Raw_Data!D132</f>
        <v>Pune</v>
      </c>
      <c r="E132" s="3" t="str">
        <f aca="false">Raw_Data!E132</f>
        <v>Government Employee</v>
      </c>
      <c r="F132" s="3" t="str">
        <f aca="false">Raw_Data!F132</f>
        <v>Above 80,000</v>
      </c>
      <c r="G132" s="3" t="str">
        <f aca="false">Raw_Data!G132</f>
        <v>No</v>
      </c>
      <c r="H132" s="3" t="n">
        <f aca="false">Raw_Data!H132</f>
        <v>0</v>
      </c>
      <c r="I132" s="3" t="n">
        <f aca="false">Raw_Data!I132</f>
        <v>0</v>
      </c>
      <c r="J132" s="3" t="n">
        <f aca="false">Raw_Data!J132</f>
        <v>0</v>
      </c>
      <c r="K132" s="3" t="n">
        <f aca="false">Raw_Data!K132</f>
        <v>0</v>
      </c>
      <c r="L132" s="3" t="n">
        <f aca="false">Raw_Data!L132</f>
        <v>3</v>
      </c>
      <c r="M132" s="3" t="str">
        <f aca="false">Raw_Data!M132</f>
        <v>Medium</v>
      </c>
      <c r="N132" s="3" t="str">
        <f aca="false">Raw_Data!N132</f>
        <v>Digital Gold</v>
      </c>
      <c r="O132" s="3" t="n">
        <f aca="false">Raw_Data!O132</f>
        <v>3</v>
      </c>
      <c r="P132" s="3" t="n">
        <f aca="false">Raw_Data!P132</f>
        <v>8</v>
      </c>
      <c r="Q132" s="3" t="str">
        <f aca="false">IF(OR(B132="",B132=0),"Unknown",IF(B132&lt;=25,"18-25",IF(B132&lt;=35,"26-35",IF(B132&lt;=45,"36-45","46+"))))</f>
        <v>36-45</v>
      </c>
      <c r="R132" s="3" t="n">
        <f aca="false">IF(F132="Below 20,000",10000,IF(F132="20,000-40,000",30000,IF(F132="40,000-60,000",50000,IF(F132="60,000-80,000",70000,IF(F132="Above 80,000",100000,0)))))</f>
        <v>100000</v>
      </c>
      <c r="S132" s="3" t="n">
        <f aca="false">IF(G132="Yes",1,0)</f>
        <v>0</v>
      </c>
    </row>
    <row r="133" customFormat="false" ht="15" hidden="false" customHeight="true" outlineLevel="0" collapsed="false">
      <c r="A133" s="4" t="str">
        <f aca="false">Raw_Data!A133</f>
        <v>R132</v>
      </c>
      <c r="B133" s="4" t="n">
        <f aca="false">Raw_Data!B133</f>
        <v>30</v>
      </c>
      <c r="C133" s="4" t="str">
        <f aca="false">Raw_Data!C133</f>
        <v>Female</v>
      </c>
      <c r="D133" s="4" t="str">
        <f aca="false">Raw_Data!D133</f>
        <v>Mumbai</v>
      </c>
      <c r="E133" s="4" t="str">
        <f aca="false">Raw_Data!E133</f>
        <v>Salaried</v>
      </c>
      <c r="F133" s="4" t="str">
        <f aca="false">Raw_Data!F133</f>
        <v>20,000-40,000</v>
      </c>
      <c r="G133" s="4" t="str">
        <f aca="false">Raw_Data!G133</f>
        <v>Yes</v>
      </c>
      <c r="H133" s="4" t="str">
        <f aca="false">Raw_Data!H133</f>
        <v>Paytm</v>
      </c>
      <c r="I133" s="4" t="str">
        <f aca="false">Raw_Data!I133</f>
        <v>Quarterly</v>
      </c>
      <c r="J133" s="4" t="n">
        <f aca="false">Raw_Data!J133</f>
        <v>928</v>
      </c>
      <c r="K133" s="4" t="str">
        <f aca="false">Raw_Data!K133</f>
        <v>Gifting</v>
      </c>
      <c r="L133" s="4" t="n">
        <f aca="false">Raw_Data!L133</f>
        <v>4</v>
      </c>
      <c r="M133" s="4" t="str">
        <f aca="false">Raw_Data!M133</f>
        <v>High</v>
      </c>
      <c r="N133" s="4" t="str">
        <f aca="false">Raw_Data!N133</f>
        <v>Fixed Deposit</v>
      </c>
      <c r="O133" s="4" t="n">
        <f aca="false">Raw_Data!O133</f>
        <v>4</v>
      </c>
      <c r="P133" s="4" t="n">
        <f aca="false">Raw_Data!P133</f>
        <v>3</v>
      </c>
      <c r="Q133" s="4" t="str">
        <f aca="false">IF(OR(B133="",B133=0),"Unknown",IF(B133&lt;=25,"18-25",IF(B133&lt;=35,"26-35",IF(B133&lt;=45,"36-45","46+"))))</f>
        <v>26-35</v>
      </c>
      <c r="R133" s="4" t="n">
        <f aca="false">IF(F133="Below 20,000",10000,IF(F133="20,000-40,000",30000,IF(F133="40,000-60,000",50000,IF(F133="60,000-80,000",70000,IF(F133="Above 80,000",100000,0)))))</f>
        <v>30000</v>
      </c>
      <c r="S133" s="4" t="n">
        <f aca="false">IF(G133="Yes",1,0)</f>
        <v>1</v>
      </c>
    </row>
    <row r="134" customFormat="false" ht="15" hidden="false" customHeight="true" outlineLevel="0" collapsed="false">
      <c r="A134" s="3" t="str">
        <f aca="false">Raw_Data!A134</f>
        <v>R133</v>
      </c>
      <c r="B134" s="3" t="n">
        <f aca="false">Raw_Data!B134</f>
        <v>56</v>
      </c>
      <c r="C134" s="3" t="str">
        <f aca="false">Raw_Data!C134</f>
        <v>Female</v>
      </c>
      <c r="D134" s="3" t="str">
        <f aca="false">Raw_Data!D134</f>
        <v>Mumbai</v>
      </c>
      <c r="E134" s="3" t="str">
        <f aca="false">Raw_Data!E134</f>
        <v>Homemaker</v>
      </c>
      <c r="F134" s="3" t="str">
        <f aca="false">Raw_Data!F134</f>
        <v>60,000-80,000</v>
      </c>
      <c r="G134" s="3" t="str">
        <f aca="false">Raw_Data!G134</f>
        <v>Yes</v>
      </c>
      <c r="H134" s="3" t="str">
        <f aca="false">Raw_Data!H134</f>
        <v>MMTC-PAMP</v>
      </c>
      <c r="I134" s="3" t="str">
        <f aca="false">Raw_Data!I134</f>
        <v>Weekly</v>
      </c>
      <c r="J134" s="3" t="n">
        <f aca="false">Raw_Data!J134</f>
        <v>14817</v>
      </c>
      <c r="K134" s="3" t="str">
        <f aca="false">Raw_Data!K134</f>
        <v>Investment</v>
      </c>
      <c r="L134" s="3" t="n">
        <f aca="false">Raw_Data!L134</f>
        <v>4</v>
      </c>
      <c r="M134" s="3" t="str">
        <f aca="false">Raw_Data!M134</f>
        <v>Medium</v>
      </c>
      <c r="N134" s="3" t="str">
        <f aca="false">Raw_Data!N134</f>
        <v>Mutual Funds</v>
      </c>
      <c r="O134" s="3" t="n">
        <f aca="false">Raw_Data!O134</f>
        <v>4</v>
      </c>
      <c r="P134" s="3" t="n">
        <f aca="false">Raw_Data!P134</f>
        <v>7</v>
      </c>
      <c r="Q134" s="3" t="str">
        <f aca="false">IF(OR(B134="",B134=0),"Unknown",IF(B134&lt;=25,"18-25",IF(B134&lt;=35,"26-35",IF(B134&lt;=45,"36-45","46+"))))</f>
        <v>46+</v>
      </c>
      <c r="R134" s="3" t="n">
        <f aca="false">IF(F134="Below 20,000",10000,IF(F134="20,000-40,000",30000,IF(F134="40,000-60,000",50000,IF(F134="60,000-80,000",70000,IF(F134="Above 80,000",100000,0)))))</f>
        <v>70000</v>
      </c>
      <c r="S134" s="3" t="n">
        <f aca="false">IF(G134="Yes",1,0)</f>
        <v>1</v>
      </c>
    </row>
    <row r="135" customFormat="false" ht="15" hidden="false" customHeight="true" outlineLevel="0" collapsed="false">
      <c r="A135" s="4" t="str">
        <f aca="false">Raw_Data!A135</f>
        <v>R134</v>
      </c>
      <c r="B135" s="4" t="n">
        <f aca="false">Raw_Data!B135</f>
        <v>59</v>
      </c>
      <c r="C135" s="4" t="str">
        <f aca="false">Raw_Data!C135</f>
        <v>Male</v>
      </c>
      <c r="D135" s="4" t="str">
        <f aca="false">Raw_Data!D135</f>
        <v>Mumbai</v>
      </c>
      <c r="E135" s="4" t="str">
        <f aca="false">Raw_Data!E135</f>
        <v>Student</v>
      </c>
      <c r="F135" s="4" t="str">
        <f aca="false">Raw_Data!F135</f>
        <v>40,000-60,000</v>
      </c>
      <c r="G135" s="4" t="str">
        <f aca="false">Raw_Data!G135</f>
        <v>Yes</v>
      </c>
      <c r="H135" s="4" t="str">
        <f aca="false">Raw_Data!H135</f>
        <v>Others</v>
      </c>
      <c r="I135" s="4" t="str">
        <f aca="false">Raw_Data!I135</f>
        <v>Daily</v>
      </c>
      <c r="J135" s="4" t="n">
        <f aca="false">Raw_Data!J135</f>
        <v>5826</v>
      </c>
      <c r="K135" s="4" t="str">
        <f aca="false">Raw_Data!K135</f>
        <v>Investment</v>
      </c>
      <c r="L135" s="4" t="n">
        <f aca="false">Raw_Data!L135</f>
        <v>2</v>
      </c>
      <c r="M135" s="4" t="str">
        <f aca="false">Raw_Data!M135</f>
        <v>Low</v>
      </c>
      <c r="N135" s="4" t="str">
        <f aca="false">Raw_Data!N135</f>
        <v>Digital Gold</v>
      </c>
      <c r="O135" s="4" t="n">
        <f aca="false">Raw_Data!O135</f>
        <v>5</v>
      </c>
      <c r="P135" s="4" t="n">
        <f aca="false">Raw_Data!P135</f>
        <v>8</v>
      </c>
      <c r="Q135" s="4" t="str">
        <f aca="false">IF(OR(B135="",B135=0),"Unknown",IF(B135&lt;=25,"18-25",IF(B135&lt;=35,"26-35",IF(B135&lt;=45,"36-45","46+"))))</f>
        <v>46+</v>
      </c>
      <c r="R135" s="4" t="n">
        <f aca="false">IF(F135="Below 20,000",10000,IF(F135="20,000-40,000",30000,IF(F135="40,000-60,000",50000,IF(F135="60,000-80,000",70000,IF(F135="Above 80,000",100000,0)))))</f>
        <v>50000</v>
      </c>
      <c r="S135" s="4" t="n">
        <f aca="false">IF(G135="Yes",1,0)</f>
        <v>1</v>
      </c>
    </row>
    <row r="136" customFormat="false" ht="15" hidden="false" customHeight="true" outlineLevel="0" collapsed="false">
      <c r="A136" s="3" t="str">
        <f aca="false">Raw_Data!A136</f>
        <v>R135</v>
      </c>
      <c r="B136" s="3" t="n">
        <f aca="false">Raw_Data!B136</f>
        <v>48</v>
      </c>
      <c r="C136" s="3" t="str">
        <f aca="false">Raw_Data!C136</f>
        <v>Male</v>
      </c>
      <c r="D136" s="3" t="str">
        <f aca="false">Raw_Data!D136</f>
        <v>Jaipur</v>
      </c>
      <c r="E136" s="3" t="str">
        <f aca="false">Raw_Data!E136</f>
        <v>Salaried</v>
      </c>
      <c r="F136" s="3" t="str">
        <f aca="false">Raw_Data!F136</f>
        <v>40,000-60,000</v>
      </c>
      <c r="G136" s="3" t="str">
        <f aca="false">Raw_Data!G136</f>
        <v>Yes</v>
      </c>
      <c r="H136" s="3" t="str">
        <f aca="false">Raw_Data!H136</f>
        <v>Others</v>
      </c>
      <c r="I136" s="3" t="str">
        <f aca="false">Raw_Data!I136</f>
        <v>Weekly</v>
      </c>
      <c r="J136" s="3" t="n">
        <f aca="false">Raw_Data!J136</f>
        <v>6887</v>
      </c>
      <c r="K136" s="3" t="str">
        <f aca="false">Raw_Data!K136</f>
        <v>Savings</v>
      </c>
      <c r="L136" s="3" t="n">
        <f aca="false">Raw_Data!L136</f>
        <v>2</v>
      </c>
      <c r="M136" s="3" t="str">
        <f aca="false">Raw_Data!M136</f>
        <v>Medium</v>
      </c>
      <c r="N136" s="3" t="str">
        <f aca="false">Raw_Data!N136</f>
        <v>Digital Gold</v>
      </c>
      <c r="O136" s="3" t="n">
        <f aca="false">Raw_Data!O136</f>
        <v>4</v>
      </c>
      <c r="P136" s="3" t="n">
        <f aca="false">Raw_Data!P136</f>
        <v>3</v>
      </c>
      <c r="Q136" s="3" t="str">
        <f aca="false">IF(OR(B136="",B136=0),"Unknown",IF(B136&lt;=25,"18-25",IF(B136&lt;=35,"26-35",IF(B136&lt;=45,"36-45","46+"))))</f>
        <v>46+</v>
      </c>
      <c r="R136" s="3" t="n">
        <f aca="false">IF(F136="Below 20,000",10000,IF(F136="20,000-40,000",30000,IF(F136="40,000-60,000",50000,IF(F136="60,000-80,000",70000,IF(F136="Above 80,000",100000,0)))))</f>
        <v>50000</v>
      </c>
      <c r="S136" s="3" t="n">
        <f aca="false">IF(G136="Yes",1,0)</f>
        <v>1</v>
      </c>
    </row>
    <row r="137" customFormat="false" ht="15" hidden="false" customHeight="true" outlineLevel="0" collapsed="false">
      <c r="A137" s="4" t="str">
        <f aca="false">Raw_Data!A137</f>
        <v>R136</v>
      </c>
      <c r="B137" s="4" t="n">
        <f aca="false">Raw_Data!B137</f>
        <v>19</v>
      </c>
      <c r="C137" s="4" t="str">
        <f aca="false">Raw_Data!C137</f>
        <v>Male</v>
      </c>
      <c r="D137" s="4" t="str">
        <f aca="false">Raw_Data!D137</f>
        <v>Mumbai</v>
      </c>
      <c r="E137" s="4" t="str">
        <f aca="false">Raw_Data!E137</f>
        <v>Government Employee</v>
      </c>
      <c r="F137" s="4" t="str">
        <f aca="false">Raw_Data!F137</f>
        <v>60,000-80,000</v>
      </c>
      <c r="G137" s="4" t="str">
        <f aca="false">Raw_Data!G137</f>
        <v>Yes</v>
      </c>
      <c r="H137" s="4" t="str">
        <f aca="false">Raw_Data!H137</f>
        <v>Google Pay</v>
      </c>
      <c r="I137" s="4" t="str">
        <f aca="false">Raw_Data!I137</f>
        <v>Quarterly</v>
      </c>
      <c r="J137" s="4" t="n">
        <f aca="false">Raw_Data!J137</f>
        <v>13381</v>
      </c>
      <c r="K137" s="4" t="str">
        <f aca="false">Raw_Data!K137</f>
        <v>Savings</v>
      </c>
      <c r="L137" s="4" t="n">
        <f aca="false">Raw_Data!L137</f>
        <v>2</v>
      </c>
      <c r="M137" s="4" t="str">
        <f aca="false">Raw_Data!M137</f>
        <v>Medium</v>
      </c>
      <c r="N137" s="4" t="str">
        <f aca="false">Raw_Data!N137</f>
        <v>Fixed Deposit</v>
      </c>
      <c r="O137" s="4" t="n">
        <f aca="false">Raw_Data!O137</f>
        <v>3</v>
      </c>
      <c r="P137" s="4" t="n">
        <f aca="false">Raw_Data!P137</f>
        <v>9</v>
      </c>
      <c r="Q137" s="4" t="str">
        <f aca="false">IF(OR(B137="",B137=0),"Unknown",IF(B137&lt;=25,"18-25",IF(B137&lt;=35,"26-35",IF(B137&lt;=45,"36-45","46+"))))</f>
        <v>18-25</v>
      </c>
      <c r="R137" s="4" t="n">
        <f aca="false">IF(F137="Below 20,000",10000,IF(F137="20,000-40,000",30000,IF(F137="40,000-60,000",50000,IF(F137="60,000-80,000",70000,IF(F137="Above 80,000",100000,0)))))</f>
        <v>70000</v>
      </c>
      <c r="S137" s="4" t="n">
        <f aca="false">IF(G137="Yes",1,0)</f>
        <v>1</v>
      </c>
    </row>
    <row r="138" customFormat="false" ht="15" hidden="false" customHeight="true" outlineLevel="0" collapsed="false">
      <c r="A138" s="3" t="str">
        <f aca="false">Raw_Data!A138</f>
        <v>R137</v>
      </c>
      <c r="B138" s="3" t="n">
        <f aca="false">Raw_Data!B138</f>
        <v>57</v>
      </c>
      <c r="C138" s="3" t="str">
        <f aca="false">Raw_Data!C138</f>
        <v>Female</v>
      </c>
      <c r="D138" s="3" t="str">
        <f aca="false">Raw_Data!D138</f>
        <v>Delhi</v>
      </c>
      <c r="E138" s="3" t="str">
        <f aca="false">Raw_Data!E138</f>
        <v>Business</v>
      </c>
      <c r="F138" s="3" t="str">
        <f aca="false">Raw_Data!F138</f>
        <v>40,000-60,000</v>
      </c>
      <c r="G138" s="3" t="str">
        <f aca="false">Raw_Data!G138</f>
        <v>No</v>
      </c>
      <c r="H138" s="3" t="n">
        <f aca="false">Raw_Data!H138</f>
        <v>0</v>
      </c>
      <c r="I138" s="3" t="n">
        <f aca="false">Raw_Data!I138</f>
        <v>0</v>
      </c>
      <c r="J138" s="3" t="n">
        <f aca="false">Raw_Data!J138</f>
        <v>0</v>
      </c>
      <c r="K138" s="3" t="n">
        <f aca="false">Raw_Data!K138</f>
        <v>0</v>
      </c>
      <c r="L138" s="3" t="n">
        <f aca="false">Raw_Data!L138</f>
        <v>2</v>
      </c>
      <c r="M138" s="3" t="str">
        <f aca="false">Raw_Data!M138</f>
        <v>Low</v>
      </c>
      <c r="N138" s="3" t="str">
        <f aca="false">Raw_Data!N138</f>
        <v>Fixed Deposit</v>
      </c>
      <c r="O138" s="3" t="n">
        <f aca="false">Raw_Data!O138</f>
        <v>5</v>
      </c>
      <c r="P138" s="3" t="n">
        <f aca="false">Raw_Data!P138</f>
        <v>9</v>
      </c>
      <c r="Q138" s="3" t="str">
        <f aca="false">IF(OR(B138="",B138=0),"Unknown",IF(B138&lt;=25,"18-25",IF(B138&lt;=35,"26-35",IF(B138&lt;=45,"36-45","46+"))))</f>
        <v>46+</v>
      </c>
      <c r="R138" s="3" t="n">
        <f aca="false">IF(F138="Below 20,000",10000,IF(F138="20,000-40,000",30000,IF(F138="40,000-60,000",50000,IF(F138="60,000-80,000",70000,IF(F138="Above 80,000",100000,0)))))</f>
        <v>50000</v>
      </c>
      <c r="S138" s="3" t="n">
        <f aca="false">IF(G138="Yes",1,0)</f>
        <v>0</v>
      </c>
    </row>
    <row r="139" customFormat="false" ht="15" hidden="false" customHeight="true" outlineLevel="0" collapsed="false">
      <c r="A139" s="4" t="str">
        <f aca="false">Raw_Data!A139</f>
        <v>R138</v>
      </c>
      <c r="B139" s="4" t="n">
        <f aca="false">Raw_Data!B139</f>
        <v>56</v>
      </c>
      <c r="C139" s="4" t="str">
        <f aca="false">Raw_Data!C139</f>
        <v>Male</v>
      </c>
      <c r="D139" s="4" t="str">
        <f aca="false">Raw_Data!D139</f>
        <v>Jaipur</v>
      </c>
      <c r="E139" s="4" t="str">
        <f aca="false">Raw_Data!E139</f>
        <v>Salaried</v>
      </c>
      <c r="F139" s="4" t="str">
        <f aca="false">Raw_Data!F139</f>
        <v>Below 20,000</v>
      </c>
      <c r="G139" s="4" t="str">
        <f aca="false">Raw_Data!G139</f>
        <v>Yes</v>
      </c>
      <c r="H139" s="4" t="str">
        <f aca="false">Raw_Data!H139</f>
        <v>Zerodha</v>
      </c>
      <c r="I139" s="4" t="str">
        <f aca="false">Raw_Data!I139</f>
        <v>Monthly</v>
      </c>
      <c r="J139" s="4" t="n">
        <f aca="false">Raw_Data!J139</f>
        <v>329</v>
      </c>
      <c r="K139" s="4" t="str">
        <f aca="false">Raw_Data!K139</f>
        <v>Savings</v>
      </c>
      <c r="L139" s="4" t="n">
        <f aca="false">Raw_Data!L139</f>
        <v>1</v>
      </c>
      <c r="M139" s="4" t="str">
        <f aca="false">Raw_Data!M139</f>
        <v>Low</v>
      </c>
      <c r="N139" s="4" t="str">
        <f aca="false">Raw_Data!N139</f>
        <v>Digital Gold</v>
      </c>
      <c r="O139" s="4" t="n">
        <f aca="false">Raw_Data!O139</f>
        <v>5</v>
      </c>
      <c r="P139" s="4" t="n">
        <f aca="false">Raw_Data!P139</f>
        <v>4</v>
      </c>
      <c r="Q139" s="4" t="str">
        <f aca="false">IF(OR(B139="",B139=0),"Unknown",IF(B139&lt;=25,"18-25",IF(B139&lt;=35,"26-35",IF(B139&lt;=45,"36-45","46+"))))</f>
        <v>46+</v>
      </c>
      <c r="R139" s="4" t="n">
        <f aca="false">IF(F139="Below 20,000",10000,IF(F139="20,000-40,000",30000,IF(F139="40,000-60,000",50000,IF(F139="60,000-80,000",70000,IF(F139="Above 80,000",100000,0)))))</f>
        <v>10000</v>
      </c>
      <c r="S139" s="4" t="n">
        <f aca="false">IF(G139="Yes",1,0)</f>
        <v>1</v>
      </c>
    </row>
    <row r="140" customFormat="false" ht="15" hidden="false" customHeight="true" outlineLevel="0" collapsed="false">
      <c r="A140" s="3" t="str">
        <f aca="false">Raw_Data!A140</f>
        <v>R139</v>
      </c>
      <c r="B140" s="3" t="n">
        <f aca="false">Raw_Data!B140</f>
        <v>29</v>
      </c>
      <c r="C140" s="3" t="str">
        <f aca="false">Raw_Data!C140</f>
        <v>Male</v>
      </c>
      <c r="D140" s="3" t="str">
        <f aca="false">Raw_Data!D140</f>
        <v>Ahmedabad</v>
      </c>
      <c r="E140" s="3" t="str">
        <f aca="false">Raw_Data!E140</f>
        <v>Freelancer</v>
      </c>
      <c r="F140" s="3" t="str">
        <f aca="false">Raw_Data!F140</f>
        <v>Above 80,000</v>
      </c>
      <c r="G140" s="3" t="str">
        <f aca="false">Raw_Data!G140</f>
        <v>Yes</v>
      </c>
      <c r="H140" s="3" t="str">
        <f aca="false">Raw_Data!H140</f>
        <v>Groww</v>
      </c>
      <c r="I140" s="3" t="str">
        <f aca="false">Raw_Data!I140</f>
        <v>Rarely</v>
      </c>
      <c r="J140" s="3" t="n">
        <f aca="false">Raw_Data!J140</f>
        <v>6013</v>
      </c>
      <c r="K140" s="3" t="str">
        <f aca="false">Raw_Data!K140</f>
        <v>Gifting</v>
      </c>
      <c r="L140" s="3" t="n">
        <f aca="false">Raw_Data!L140</f>
        <v>3</v>
      </c>
      <c r="M140" s="3" t="str">
        <f aca="false">Raw_Data!M140</f>
        <v>Low</v>
      </c>
      <c r="N140" s="3" t="str">
        <f aca="false">Raw_Data!N140</f>
        <v>Fixed Deposit</v>
      </c>
      <c r="O140" s="3" t="n">
        <f aca="false">Raw_Data!O140</f>
        <v>5</v>
      </c>
      <c r="P140" s="3" t="n">
        <f aca="false">Raw_Data!P140</f>
        <v>10</v>
      </c>
      <c r="Q140" s="3" t="str">
        <f aca="false">IF(OR(B140="",B140=0),"Unknown",IF(B140&lt;=25,"18-25",IF(B140&lt;=35,"26-35",IF(B140&lt;=45,"36-45","46+"))))</f>
        <v>26-35</v>
      </c>
      <c r="R140" s="3" t="n">
        <f aca="false">IF(F140="Below 20,000",10000,IF(F140="20,000-40,000",30000,IF(F140="40,000-60,000",50000,IF(F140="60,000-80,000",70000,IF(F140="Above 80,000",100000,0)))))</f>
        <v>100000</v>
      </c>
      <c r="S140" s="3" t="n">
        <f aca="false">IF(G140="Yes",1,0)</f>
        <v>1</v>
      </c>
    </row>
    <row r="141" customFormat="false" ht="15" hidden="false" customHeight="true" outlineLevel="0" collapsed="false">
      <c r="A141" s="4" t="str">
        <f aca="false">Raw_Data!A141</f>
        <v>R140</v>
      </c>
      <c r="B141" s="4" t="n">
        <f aca="false">Raw_Data!B141</f>
        <v>23</v>
      </c>
      <c r="C141" s="4" t="str">
        <f aca="false">Raw_Data!C141</f>
        <v>Male</v>
      </c>
      <c r="D141" s="4" t="str">
        <f aca="false">Raw_Data!D141</f>
        <v>Hyderabad</v>
      </c>
      <c r="E141" s="4" t="str">
        <f aca="false">Raw_Data!E141</f>
        <v>Salaried</v>
      </c>
      <c r="F141" s="4" t="str">
        <f aca="false">Raw_Data!F141</f>
        <v>40,000-60,000</v>
      </c>
      <c r="G141" s="4" t="str">
        <f aca="false">Raw_Data!G141</f>
        <v>Yes</v>
      </c>
      <c r="H141" s="4" t="str">
        <f aca="false">Raw_Data!H141</f>
        <v>MMTC-PAMP</v>
      </c>
      <c r="I141" s="4" t="str">
        <f aca="false">Raw_Data!I141</f>
        <v>Monthly</v>
      </c>
      <c r="J141" s="4" t="n">
        <f aca="false">Raw_Data!J141</f>
        <v>3234</v>
      </c>
      <c r="K141" s="4" t="str">
        <f aca="false">Raw_Data!K141</f>
        <v>Investment</v>
      </c>
      <c r="L141" s="4" t="n">
        <f aca="false">Raw_Data!L141</f>
        <v>5</v>
      </c>
      <c r="M141" s="4" t="str">
        <f aca="false">Raw_Data!M141</f>
        <v>Low</v>
      </c>
      <c r="N141" s="4" t="str">
        <f aca="false">Raw_Data!N141</f>
        <v>Physical Gold</v>
      </c>
      <c r="O141" s="4" t="n">
        <f aca="false">Raw_Data!O141</f>
        <v>2</v>
      </c>
      <c r="P141" s="4" t="n">
        <f aca="false">Raw_Data!P141</f>
        <v>4</v>
      </c>
      <c r="Q141" s="4" t="str">
        <f aca="false">IF(OR(B141="",B141=0),"Unknown",IF(B141&lt;=25,"18-25",IF(B141&lt;=35,"26-35",IF(B141&lt;=45,"36-45","46+"))))</f>
        <v>18-25</v>
      </c>
      <c r="R141" s="4" t="n">
        <f aca="false">IF(F141="Below 20,000",10000,IF(F141="20,000-40,000",30000,IF(F141="40,000-60,000",50000,IF(F141="60,000-80,000",70000,IF(F141="Above 80,000",100000,0)))))</f>
        <v>50000</v>
      </c>
      <c r="S141" s="4" t="n">
        <f aca="false">IF(G141="Yes",1,0)</f>
        <v>1</v>
      </c>
    </row>
    <row r="142" customFormat="false" ht="15" hidden="false" customHeight="true" outlineLevel="0" collapsed="false">
      <c r="A142" s="3" t="str">
        <f aca="false">Raw_Data!A142</f>
        <v>R141</v>
      </c>
      <c r="B142" s="3" t="n">
        <f aca="false">Raw_Data!B142</f>
        <v>60</v>
      </c>
      <c r="C142" s="3" t="str">
        <f aca="false">Raw_Data!C142</f>
        <v>Female</v>
      </c>
      <c r="D142" s="3" t="str">
        <f aca="false">Raw_Data!D142</f>
        <v>Mumbai</v>
      </c>
      <c r="E142" s="3" t="str">
        <f aca="false">Raw_Data!E142</f>
        <v>Government Employee</v>
      </c>
      <c r="F142" s="3" t="str">
        <f aca="false">Raw_Data!F142</f>
        <v>60,000-80,000</v>
      </c>
      <c r="G142" s="3" t="str">
        <f aca="false">Raw_Data!G142</f>
        <v>Yes</v>
      </c>
      <c r="H142" s="3" t="str">
        <f aca="false">Raw_Data!H142</f>
        <v>Others</v>
      </c>
      <c r="I142" s="3" t="str">
        <f aca="false">Raw_Data!I142</f>
        <v>Rarely</v>
      </c>
      <c r="J142" s="3" t="n">
        <f aca="false">Raw_Data!J142</f>
        <v>7684</v>
      </c>
      <c r="K142" s="3" t="str">
        <f aca="false">Raw_Data!K142</f>
        <v>Investment</v>
      </c>
      <c r="L142" s="3" t="n">
        <f aca="false">Raw_Data!L142</f>
        <v>1</v>
      </c>
      <c r="M142" s="3" t="str">
        <f aca="false">Raw_Data!M142</f>
        <v>High</v>
      </c>
      <c r="N142" s="3" t="str">
        <f aca="false">Raw_Data!N142</f>
        <v>Digital Gold</v>
      </c>
      <c r="O142" s="3" t="n">
        <f aca="false">Raw_Data!O142</f>
        <v>1</v>
      </c>
      <c r="P142" s="3" t="n">
        <f aca="false">Raw_Data!P142</f>
        <v>7</v>
      </c>
      <c r="Q142" s="3" t="str">
        <f aca="false">IF(OR(B142="",B142=0),"Unknown",IF(B142&lt;=25,"18-25",IF(B142&lt;=35,"26-35",IF(B142&lt;=45,"36-45","46+"))))</f>
        <v>46+</v>
      </c>
      <c r="R142" s="3" t="n">
        <f aca="false">IF(F142="Below 20,000",10000,IF(F142="20,000-40,000",30000,IF(F142="40,000-60,000",50000,IF(F142="60,000-80,000",70000,IF(F142="Above 80,000",100000,0)))))</f>
        <v>70000</v>
      </c>
      <c r="S142" s="3" t="n">
        <f aca="false">IF(G142="Yes",1,0)</f>
        <v>1</v>
      </c>
    </row>
    <row r="143" customFormat="false" ht="15" hidden="false" customHeight="true" outlineLevel="0" collapsed="false">
      <c r="A143" s="4" t="str">
        <f aca="false">Raw_Data!A143</f>
        <v>R142</v>
      </c>
      <c r="B143" s="4" t="n">
        <f aca="false">Raw_Data!B143</f>
        <v>40</v>
      </c>
      <c r="C143" s="4" t="str">
        <f aca="false">Raw_Data!C143</f>
        <v>Female</v>
      </c>
      <c r="D143" s="4" t="str">
        <f aca="false">Raw_Data!D143</f>
        <v>Mumbai</v>
      </c>
      <c r="E143" s="4" t="str">
        <f aca="false">Raw_Data!E143</f>
        <v>Salaried</v>
      </c>
      <c r="F143" s="4" t="str">
        <f aca="false">Raw_Data!F143</f>
        <v>20,000-40,000</v>
      </c>
      <c r="G143" s="4" t="str">
        <f aca="false">Raw_Data!G143</f>
        <v>Yes</v>
      </c>
      <c r="H143" s="4" t="str">
        <f aca="false">Raw_Data!H143</f>
        <v>Zerodha</v>
      </c>
      <c r="I143" s="4" t="str">
        <f aca="false">Raw_Data!I143</f>
        <v>Daily</v>
      </c>
      <c r="J143" s="4" t="n">
        <f aca="false">Raw_Data!J143</f>
        <v>1998</v>
      </c>
      <c r="K143" s="4" t="str">
        <f aca="false">Raw_Data!K143</f>
        <v>Savings</v>
      </c>
      <c r="L143" s="4" t="n">
        <f aca="false">Raw_Data!L143</f>
        <v>3</v>
      </c>
      <c r="M143" s="4" t="str">
        <f aca="false">Raw_Data!M143</f>
        <v>High</v>
      </c>
      <c r="N143" s="4" t="str">
        <f aca="false">Raw_Data!N143</f>
        <v>Fixed Deposit</v>
      </c>
      <c r="O143" s="4" t="n">
        <f aca="false">Raw_Data!O143</f>
        <v>5</v>
      </c>
      <c r="P143" s="4" t="n">
        <f aca="false">Raw_Data!P143</f>
        <v>3</v>
      </c>
      <c r="Q143" s="4" t="str">
        <f aca="false">IF(OR(B143="",B143=0),"Unknown",IF(B143&lt;=25,"18-25",IF(B143&lt;=35,"26-35",IF(B143&lt;=45,"36-45","46+"))))</f>
        <v>36-45</v>
      </c>
      <c r="R143" s="4" t="n">
        <f aca="false">IF(F143="Below 20,000",10000,IF(F143="20,000-40,000",30000,IF(F143="40,000-60,000",50000,IF(F143="60,000-80,000",70000,IF(F143="Above 80,000",100000,0)))))</f>
        <v>30000</v>
      </c>
      <c r="S143" s="4" t="n">
        <f aca="false">IF(G143="Yes",1,0)</f>
        <v>1</v>
      </c>
    </row>
    <row r="144" customFormat="false" ht="15" hidden="false" customHeight="true" outlineLevel="0" collapsed="false">
      <c r="A144" s="3" t="str">
        <f aca="false">Raw_Data!A144</f>
        <v>R143</v>
      </c>
      <c r="B144" s="3" t="n">
        <f aca="false">Raw_Data!B144</f>
        <v>31</v>
      </c>
      <c r="C144" s="3" t="str">
        <f aca="false">Raw_Data!C144</f>
        <v>Male</v>
      </c>
      <c r="D144" s="3" t="str">
        <f aca="false">Raw_Data!D144</f>
        <v>Kolkata</v>
      </c>
      <c r="E144" s="3" t="str">
        <f aca="false">Raw_Data!E144</f>
        <v>Freelancer</v>
      </c>
      <c r="F144" s="3" t="str">
        <f aca="false">Raw_Data!F144</f>
        <v>60,000-80,000</v>
      </c>
      <c r="G144" s="3" t="str">
        <f aca="false">Raw_Data!G144</f>
        <v>Yes</v>
      </c>
      <c r="H144" s="3" t="str">
        <f aca="false">Raw_Data!H144</f>
        <v>Others</v>
      </c>
      <c r="I144" s="3" t="str">
        <f aca="false">Raw_Data!I144</f>
        <v>Rarely</v>
      </c>
      <c r="J144" s="3" t="n">
        <f aca="false">Raw_Data!J144</f>
        <v>14395</v>
      </c>
      <c r="K144" s="3" t="str">
        <f aca="false">Raw_Data!K144</f>
        <v>Investment</v>
      </c>
      <c r="L144" s="3" t="n">
        <f aca="false">Raw_Data!L144</f>
        <v>5</v>
      </c>
      <c r="M144" s="3" t="str">
        <f aca="false">Raw_Data!M144</f>
        <v>Medium</v>
      </c>
      <c r="N144" s="3" t="str">
        <f aca="false">Raw_Data!N144</f>
        <v>Fixed Deposit</v>
      </c>
      <c r="O144" s="3" t="n">
        <f aca="false">Raw_Data!O144</f>
        <v>1</v>
      </c>
      <c r="P144" s="3" t="n">
        <f aca="false">Raw_Data!P144</f>
        <v>6</v>
      </c>
      <c r="Q144" s="3" t="str">
        <f aca="false">IF(OR(B144="",B144=0),"Unknown",IF(B144&lt;=25,"18-25",IF(B144&lt;=35,"26-35",IF(B144&lt;=45,"36-45","46+"))))</f>
        <v>26-35</v>
      </c>
      <c r="R144" s="3" t="n">
        <f aca="false">IF(F144="Below 20,000",10000,IF(F144="20,000-40,000",30000,IF(F144="40,000-60,000",50000,IF(F144="60,000-80,000",70000,IF(F144="Above 80,000",100000,0)))))</f>
        <v>70000</v>
      </c>
      <c r="S144" s="3" t="n">
        <f aca="false">IF(G144="Yes",1,0)</f>
        <v>1</v>
      </c>
    </row>
    <row r="145" customFormat="false" ht="15" hidden="false" customHeight="true" outlineLevel="0" collapsed="false">
      <c r="A145" s="4" t="str">
        <f aca="false">Raw_Data!A145</f>
        <v>R144</v>
      </c>
      <c r="B145" s="4" t="n">
        <f aca="false">Raw_Data!B145</f>
        <v>0</v>
      </c>
      <c r="C145" s="4" t="str">
        <f aca="false">Raw_Data!C145</f>
        <v>Male</v>
      </c>
      <c r="D145" s="4" t="str">
        <f aca="false">Raw_Data!D145</f>
        <v>Delhi</v>
      </c>
      <c r="E145" s="4" t="str">
        <f aca="false">Raw_Data!E145</f>
        <v>Government Employee</v>
      </c>
      <c r="F145" s="4" t="n">
        <f aca="false">Raw_Data!F145</f>
        <v>0</v>
      </c>
      <c r="G145" s="4" t="str">
        <f aca="false">Raw_Data!G145</f>
        <v>Yes</v>
      </c>
      <c r="H145" s="4" t="str">
        <f aca="false">Raw_Data!H145</f>
        <v>Paytm</v>
      </c>
      <c r="I145" s="4" t="str">
        <f aca="false">Raw_Data!I145</f>
        <v>Rarely</v>
      </c>
      <c r="J145" s="4" t="n">
        <f aca="false">Raw_Data!J145</f>
        <v>7685</v>
      </c>
      <c r="K145" s="4" t="str">
        <f aca="false">Raw_Data!K145</f>
        <v>Savings</v>
      </c>
      <c r="L145" s="4" t="n">
        <f aca="false">Raw_Data!L145</f>
        <v>1</v>
      </c>
      <c r="M145" s="4" t="str">
        <f aca="false">Raw_Data!M145</f>
        <v>High</v>
      </c>
      <c r="N145" s="4" t="str">
        <f aca="false">Raw_Data!N145</f>
        <v>Digital Gold</v>
      </c>
      <c r="O145" s="4" t="n">
        <f aca="false">Raw_Data!O145</f>
        <v>5</v>
      </c>
      <c r="P145" s="4" t="n">
        <f aca="false">Raw_Data!P145</f>
        <v>4</v>
      </c>
      <c r="Q145" s="4" t="str">
        <f aca="false">IF(OR(B145="",B145=0),"Unknown",IF(B145&lt;=25,"18-25",IF(B145&lt;=35,"26-35",IF(B145&lt;=45,"36-45","46+"))))</f>
        <v>Unknown</v>
      </c>
      <c r="R145" s="4" t="n">
        <f aca="false">IF(F145="Below 20,000",10000,IF(F145="20,000-40,000",30000,IF(F145="40,000-60,000",50000,IF(F145="60,000-80,000",70000,IF(F145="Above 80,000",100000,0)))))</f>
        <v>0</v>
      </c>
      <c r="S145" s="4" t="n">
        <f aca="false">IF(G145="Yes",1,0)</f>
        <v>1</v>
      </c>
    </row>
    <row r="146" customFormat="false" ht="15" hidden="false" customHeight="true" outlineLevel="0" collapsed="false">
      <c r="A146" s="3" t="str">
        <f aca="false">Raw_Data!A146</f>
        <v>R145</v>
      </c>
      <c r="B146" s="3" t="n">
        <f aca="false">Raw_Data!B146</f>
        <v>53</v>
      </c>
      <c r="C146" s="3" t="str">
        <f aca="false">Raw_Data!C146</f>
        <v>Male</v>
      </c>
      <c r="D146" s="3" t="str">
        <f aca="false">Raw_Data!D146</f>
        <v>Kolkata</v>
      </c>
      <c r="E146" s="3" t="str">
        <f aca="false">Raw_Data!E146</f>
        <v>Government Employee</v>
      </c>
      <c r="F146" s="3" t="str">
        <f aca="false">Raw_Data!F146</f>
        <v>60,000-80,000</v>
      </c>
      <c r="G146" s="3" t="str">
        <f aca="false">Raw_Data!G146</f>
        <v>Yes</v>
      </c>
      <c r="H146" s="3" t="str">
        <f aca="false">Raw_Data!H146</f>
        <v>MMTC-PAMP</v>
      </c>
      <c r="I146" s="3" t="str">
        <f aca="false">Raw_Data!I146</f>
        <v>Weekly</v>
      </c>
      <c r="J146" s="3" t="n">
        <f aca="false">Raw_Data!J146</f>
        <v>11747</v>
      </c>
      <c r="K146" s="3" t="str">
        <f aca="false">Raw_Data!K146</f>
        <v>Savings</v>
      </c>
      <c r="L146" s="3" t="n">
        <f aca="false">Raw_Data!L146</f>
        <v>4</v>
      </c>
      <c r="M146" s="3" t="str">
        <f aca="false">Raw_Data!M146</f>
        <v>Medium</v>
      </c>
      <c r="N146" s="3" t="str">
        <f aca="false">Raw_Data!N146</f>
        <v>Mutual Funds</v>
      </c>
      <c r="O146" s="3" t="n">
        <f aca="false">Raw_Data!O146</f>
        <v>5</v>
      </c>
      <c r="P146" s="3" t="n">
        <f aca="false">Raw_Data!P146</f>
        <v>6</v>
      </c>
      <c r="Q146" s="3" t="str">
        <f aca="false">IF(OR(B146="",B146=0),"Unknown",IF(B146&lt;=25,"18-25",IF(B146&lt;=35,"26-35",IF(B146&lt;=45,"36-45","46+"))))</f>
        <v>46+</v>
      </c>
      <c r="R146" s="3" t="n">
        <f aca="false">IF(F146="Below 20,000",10000,IF(F146="20,000-40,000",30000,IF(F146="40,000-60,000",50000,IF(F146="60,000-80,000",70000,IF(F146="Above 80,000",100000,0)))))</f>
        <v>70000</v>
      </c>
      <c r="S146" s="3" t="n">
        <f aca="false">IF(G146="Yes",1,0)</f>
        <v>1</v>
      </c>
    </row>
    <row r="147" customFormat="false" ht="15" hidden="false" customHeight="true" outlineLevel="0" collapsed="false">
      <c r="A147" s="4" t="str">
        <f aca="false">Raw_Data!A147</f>
        <v>R146</v>
      </c>
      <c r="B147" s="4" t="n">
        <f aca="false">Raw_Data!B147</f>
        <v>49</v>
      </c>
      <c r="C147" s="4" t="str">
        <f aca="false">Raw_Data!C147</f>
        <v>Male</v>
      </c>
      <c r="D147" s="4" t="str">
        <f aca="false">Raw_Data!D147</f>
        <v>Ahmedabad</v>
      </c>
      <c r="E147" s="4" t="str">
        <f aca="false">Raw_Data!E147</f>
        <v>Business</v>
      </c>
      <c r="F147" s="4" t="str">
        <f aca="false">Raw_Data!F147</f>
        <v>Above 80,000</v>
      </c>
      <c r="G147" s="4" t="str">
        <f aca="false">Raw_Data!G147</f>
        <v>Yes</v>
      </c>
      <c r="H147" s="4" t="str">
        <f aca="false">Raw_Data!H147</f>
        <v>Groww</v>
      </c>
      <c r="I147" s="4" t="str">
        <f aca="false">Raw_Data!I147</f>
        <v>Daily</v>
      </c>
      <c r="J147" s="4" t="n">
        <f aca="false">Raw_Data!J147</f>
        <v>10439</v>
      </c>
      <c r="K147" s="4" t="str">
        <f aca="false">Raw_Data!K147</f>
        <v>Gifting</v>
      </c>
      <c r="L147" s="4" t="n">
        <f aca="false">Raw_Data!L147</f>
        <v>1</v>
      </c>
      <c r="M147" s="4" t="str">
        <f aca="false">Raw_Data!M147</f>
        <v>Medium</v>
      </c>
      <c r="N147" s="4" t="str">
        <f aca="false">Raw_Data!N147</f>
        <v>Mutual Funds</v>
      </c>
      <c r="O147" s="4" t="n">
        <f aca="false">Raw_Data!O147</f>
        <v>5</v>
      </c>
      <c r="P147" s="4" t="n">
        <f aca="false">Raw_Data!P147</f>
        <v>7</v>
      </c>
      <c r="Q147" s="4" t="str">
        <f aca="false">IF(OR(B147="",B147=0),"Unknown",IF(B147&lt;=25,"18-25",IF(B147&lt;=35,"26-35",IF(B147&lt;=45,"36-45","46+"))))</f>
        <v>46+</v>
      </c>
      <c r="R147" s="4" t="n">
        <f aca="false">IF(F147="Below 20,000",10000,IF(F147="20,000-40,000",30000,IF(F147="40,000-60,000",50000,IF(F147="60,000-80,000",70000,IF(F147="Above 80,000",100000,0)))))</f>
        <v>100000</v>
      </c>
      <c r="S147" s="4" t="n">
        <f aca="false">IF(G147="Yes",1,0)</f>
        <v>1</v>
      </c>
    </row>
    <row r="148" customFormat="false" ht="15" hidden="false" customHeight="true" outlineLevel="0" collapsed="false">
      <c r="A148" s="3" t="str">
        <f aca="false">Raw_Data!A148</f>
        <v>R147</v>
      </c>
      <c r="B148" s="3" t="n">
        <f aca="false">Raw_Data!B148</f>
        <v>56</v>
      </c>
      <c r="C148" s="3" t="n">
        <f aca="false">Raw_Data!C148</f>
        <v>0</v>
      </c>
      <c r="D148" s="3" t="str">
        <f aca="false">Raw_Data!D148</f>
        <v>Kolkata</v>
      </c>
      <c r="E148" s="3" t="str">
        <f aca="false">Raw_Data!E148</f>
        <v>Government Employee</v>
      </c>
      <c r="F148" s="3" t="str">
        <f aca="false">Raw_Data!F148</f>
        <v>Above 80,000</v>
      </c>
      <c r="G148" s="3" t="str">
        <f aca="false">Raw_Data!G148</f>
        <v>Yes</v>
      </c>
      <c r="H148" s="3" t="str">
        <f aca="false">Raw_Data!H148</f>
        <v>Zerodha</v>
      </c>
      <c r="I148" s="3" t="str">
        <f aca="false">Raw_Data!I148</f>
        <v>Weekly</v>
      </c>
      <c r="J148" s="3" t="n">
        <f aca="false">Raw_Data!J148</f>
        <v>20725</v>
      </c>
      <c r="K148" s="3" t="str">
        <f aca="false">Raw_Data!K148</f>
        <v>Gifting</v>
      </c>
      <c r="L148" s="3" t="n">
        <f aca="false">Raw_Data!L148</f>
        <v>3</v>
      </c>
      <c r="M148" s="3" t="str">
        <f aca="false">Raw_Data!M148</f>
        <v>High</v>
      </c>
      <c r="N148" s="3" t="str">
        <f aca="false">Raw_Data!N148</f>
        <v>Mutual Funds</v>
      </c>
      <c r="O148" s="3" t="n">
        <f aca="false">Raw_Data!O148</f>
        <v>4</v>
      </c>
      <c r="P148" s="3" t="n">
        <f aca="false">Raw_Data!P148</f>
        <v>1</v>
      </c>
      <c r="Q148" s="3" t="str">
        <f aca="false">IF(OR(B148="",B148=0),"Unknown",IF(B148&lt;=25,"18-25",IF(B148&lt;=35,"26-35",IF(B148&lt;=45,"36-45","46+"))))</f>
        <v>46+</v>
      </c>
      <c r="R148" s="3" t="n">
        <f aca="false">IF(F148="Below 20,000",10000,IF(F148="20,000-40,000",30000,IF(F148="40,000-60,000",50000,IF(F148="60,000-80,000",70000,IF(F148="Above 80,000",100000,0)))))</f>
        <v>100000</v>
      </c>
      <c r="S148" s="3" t="n">
        <f aca="false">IF(G148="Yes",1,0)</f>
        <v>1</v>
      </c>
    </row>
    <row r="149" customFormat="false" ht="15" hidden="false" customHeight="true" outlineLevel="0" collapsed="false">
      <c r="A149" s="4" t="str">
        <f aca="false">Raw_Data!A149</f>
        <v>R148</v>
      </c>
      <c r="B149" s="4" t="n">
        <f aca="false">Raw_Data!B149</f>
        <v>51</v>
      </c>
      <c r="C149" s="4" t="str">
        <f aca="false">Raw_Data!C149</f>
        <v>Female</v>
      </c>
      <c r="D149" s="4" t="str">
        <f aca="false">Raw_Data!D149</f>
        <v>Bangalore</v>
      </c>
      <c r="E149" s="4" t="str">
        <f aca="false">Raw_Data!E149</f>
        <v>Salaried</v>
      </c>
      <c r="F149" s="4" t="str">
        <f aca="false">Raw_Data!F149</f>
        <v>Below 20,000</v>
      </c>
      <c r="G149" s="4" t="str">
        <f aca="false">Raw_Data!G149</f>
        <v>Yes</v>
      </c>
      <c r="H149" s="4" t="str">
        <f aca="false">Raw_Data!H149</f>
        <v>Groww</v>
      </c>
      <c r="I149" s="4" t="str">
        <f aca="false">Raw_Data!I149</f>
        <v>Rarely</v>
      </c>
      <c r="J149" s="4" t="n">
        <f aca="false">Raw_Data!J149</f>
        <v>620</v>
      </c>
      <c r="K149" s="4" t="str">
        <f aca="false">Raw_Data!K149</f>
        <v>Investment</v>
      </c>
      <c r="L149" s="4" t="n">
        <f aca="false">Raw_Data!L149</f>
        <v>3</v>
      </c>
      <c r="M149" s="4" t="str">
        <f aca="false">Raw_Data!M149</f>
        <v>Medium</v>
      </c>
      <c r="N149" s="4" t="str">
        <f aca="false">Raw_Data!N149</f>
        <v>Physical Gold</v>
      </c>
      <c r="O149" s="4" t="n">
        <f aca="false">Raw_Data!O149</f>
        <v>2</v>
      </c>
      <c r="P149" s="4" t="n">
        <f aca="false">Raw_Data!P149</f>
        <v>6</v>
      </c>
      <c r="Q149" s="4" t="str">
        <f aca="false">IF(OR(B149="",B149=0),"Unknown",IF(B149&lt;=25,"18-25",IF(B149&lt;=35,"26-35",IF(B149&lt;=45,"36-45","46+"))))</f>
        <v>46+</v>
      </c>
      <c r="R149" s="4" t="n">
        <f aca="false">IF(F149="Below 20,000",10000,IF(F149="20,000-40,000",30000,IF(F149="40,000-60,000",50000,IF(F149="60,000-80,000",70000,IF(F149="Above 80,000",100000,0)))))</f>
        <v>10000</v>
      </c>
      <c r="S149" s="4" t="n">
        <f aca="false">IF(G149="Yes",1,0)</f>
        <v>1</v>
      </c>
    </row>
    <row r="150" customFormat="false" ht="15" hidden="false" customHeight="true" outlineLevel="0" collapsed="false">
      <c r="A150" s="3" t="str">
        <f aca="false">Raw_Data!A150</f>
        <v>R149</v>
      </c>
      <c r="B150" s="3" t="n">
        <f aca="false">Raw_Data!B150</f>
        <v>20</v>
      </c>
      <c r="C150" s="3" t="str">
        <f aca="false">Raw_Data!C150</f>
        <v>Female</v>
      </c>
      <c r="D150" s="3" t="str">
        <f aca="false">Raw_Data!D150</f>
        <v>Kolkata</v>
      </c>
      <c r="E150" s="3" t="str">
        <f aca="false">Raw_Data!E150</f>
        <v>Business</v>
      </c>
      <c r="F150" s="3" t="str">
        <f aca="false">Raw_Data!F150</f>
        <v>60,000-80,000</v>
      </c>
      <c r="G150" s="3" t="str">
        <f aca="false">Raw_Data!G150</f>
        <v>Yes</v>
      </c>
      <c r="H150" s="3" t="str">
        <f aca="false">Raw_Data!H150</f>
        <v>Google Pay</v>
      </c>
      <c r="I150" s="3" t="str">
        <f aca="false">Raw_Data!I150</f>
        <v>Rarely</v>
      </c>
      <c r="J150" s="3" t="n">
        <f aca="false">Raw_Data!J150</f>
        <v>3987</v>
      </c>
      <c r="K150" s="3" t="str">
        <f aca="false">Raw_Data!K150</f>
        <v>Investment</v>
      </c>
      <c r="L150" s="3" t="n">
        <f aca="false">Raw_Data!L150</f>
        <v>4</v>
      </c>
      <c r="M150" s="3" t="str">
        <f aca="false">Raw_Data!M150</f>
        <v>Low</v>
      </c>
      <c r="N150" s="3" t="str">
        <f aca="false">Raw_Data!N150</f>
        <v>Mutual Funds</v>
      </c>
      <c r="O150" s="3" t="n">
        <f aca="false">Raw_Data!O150</f>
        <v>4</v>
      </c>
      <c r="P150" s="3" t="n">
        <f aca="false">Raw_Data!P150</f>
        <v>3</v>
      </c>
      <c r="Q150" s="3" t="str">
        <f aca="false">IF(OR(B150="",B150=0),"Unknown",IF(B150&lt;=25,"18-25",IF(B150&lt;=35,"26-35",IF(B150&lt;=45,"36-45","46+"))))</f>
        <v>18-25</v>
      </c>
      <c r="R150" s="3" t="n">
        <f aca="false">IF(F150="Below 20,000",10000,IF(F150="20,000-40,000",30000,IF(F150="40,000-60,000",50000,IF(F150="60,000-80,000",70000,IF(F150="Above 80,000",100000,0)))))</f>
        <v>70000</v>
      </c>
      <c r="S150" s="3" t="n">
        <f aca="false">IF(G150="Yes",1,0)</f>
        <v>1</v>
      </c>
    </row>
    <row r="151" customFormat="false" ht="15" hidden="false" customHeight="true" outlineLevel="0" collapsed="false">
      <c r="A151" s="4" t="str">
        <f aca="false">Raw_Data!A151</f>
        <v>R150</v>
      </c>
      <c r="B151" s="4" t="n">
        <f aca="false">Raw_Data!B151</f>
        <v>57</v>
      </c>
      <c r="C151" s="4" t="str">
        <f aca="false">Raw_Data!C151</f>
        <v>Male</v>
      </c>
      <c r="D151" s="4" t="str">
        <f aca="false">Raw_Data!D151</f>
        <v>Kolkata</v>
      </c>
      <c r="E151" s="4" t="str">
        <f aca="false">Raw_Data!E151</f>
        <v>Homemaker</v>
      </c>
      <c r="F151" s="4" t="str">
        <f aca="false">Raw_Data!F151</f>
        <v>Above 80,000</v>
      </c>
      <c r="G151" s="4" t="str">
        <f aca="false">Raw_Data!G151</f>
        <v>Yes</v>
      </c>
      <c r="H151" s="4" t="str">
        <f aca="false">Raw_Data!H151</f>
        <v>Zerodha</v>
      </c>
      <c r="I151" s="4" t="str">
        <f aca="false">Raw_Data!I151</f>
        <v>Daily</v>
      </c>
      <c r="J151" s="4" t="n">
        <f aca="false">Raw_Data!J151</f>
        <v>6929</v>
      </c>
      <c r="K151" s="4" t="str">
        <f aca="false">Raw_Data!K151</f>
        <v>Investment</v>
      </c>
      <c r="L151" s="4" t="n">
        <f aca="false">Raw_Data!L151</f>
        <v>1</v>
      </c>
      <c r="M151" s="4" t="str">
        <f aca="false">Raw_Data!M151</f>
        <v>High</v>
      </c>
      <c r="N151" s="4" t="str">
        <f aca="false">Raw_Data!N151</f>
        <v>Digital Gold</v>
      </c>
      <c r="O151" s="4" t="n">
        <f aca="false">Raw_Data!O151</f>
        <v>3</v>
      </c>
      <c r="P151" s="4" t="n">
        <f aca="false">Raw_Data!P151</f>
        <v>4</v>
      </c>
      <c r="Q151" s="4" t="str">
        <f aca="false">IF(OR(B151="",B151=0),"Unknown",IF(B151&lt;=25,"18-25",IF(B151&lt;=35,"26-35",IF(B151&lt;=45,"36-45","46+"))))</f>
        <v>46+</v>
      </c>
      <c r="R151" s="4" t="n">
        <f aca="false">IF(F151="Below 20,000",10000,IF(F151="20,000-40,000",30000,IF(F151="40,000-60,000",50000,IF(F151="60,000-80,000",70000,IF(F151="Above 80,000",100000,0)))))</f>
        <v>100000</v>
      </c>
      <c r="S151" s="4" t="n">
        <f aca="false">IF(G151="Yes",1,0)</f>
        <v>1</v>
      </c>
    </row>
    <row r="152" customFormat="false" ht="15" hidden="false" customHeight="true" outlineLevel="0" collapsed="false">
      <c r="A152" s="3" t="str">
        <f aca="false">Raw_Data!A152</f>
        <v>R151</v>
      </c>
      <c r="B152" s="3" t="n">
        <f aca="false">Raw_Data!B152</f>
        <v>27</v>
      </c>
      <c r="C152" s="3" t="n">
        <f aca="false">Raw_Data!C152</f>
        <v>0</v>
      </c>
      <c r="D152" s="3" t="str">
        <f aca="false">Raw_Data!D152</f>
        <v>Chennai</v>
      </c>
      <c r="E152" s="3" t="str">
        <f aca="false">Raw_Data!E152</f>
        <v>Salaried</v>
      </c>
      <c r="F152" s="3" t="str">
        <f aca="false">Raw_Data!F152</f>
        <v>Above 80,000</v>
      </c>
      <c r="G152" s="3" t="str">
        <f aca="false">Raw_Data!G152</f>
        <v>Yes</v>
      </c>
      <c r="H152" s="3" t="str">
        <f aca="false">Raw_Data!H152</f>
        <v>Others</v>
      </c>
      <c r="I152" s="3" t="str">
        <f aca="false">Raw_Data!I152</f>
        <v>Weekly</v>
      </c>
      <c r="J152" s="3" t="n">
        <f aca="false">Raw_Data!J152</f>
        <v>10259</v>
      </c>
      <c r="K152" s="3" t="str">
        <f aca="false">Raw_Data!K152</f>
        <v>Savings</v>
      </c>
      <c r="L152" s="3" t="n">
        <f aca="false">Raw_Data!L152</f>
        <v>3</v>
      </c>
      <c r="M152" s="3" t="str">
        <f aca="false">Raw_Data!M152</f>
        <v>Low</v>
      </c>
      <c r="N152" s="3" t="str">
        <f aca="false">Raw_Data!N152</f>
        <v>Digital Gold</v>
      </c>
      <c r="O152" s="3" t="n">
        <f aca="false">Raw_Data!O152</f>
        <v>1</v>
      </c>
      <c r="P152" s="3" t="n">
        <f aca="false">Raw_Data!P152</f>
        <v>3</v>
      </c>
      <c r="Q152" s="3" t="str">
        <f aca="false">IF(OR(B152="",B152=0),"Unknown",IF(B152&lt;=25,"18-25",IF(B152&lt;=35,"26-35",IF(B152&lt;=45,"36-45","46+"))))</f>
        <v>26-35</v>
      </c>
      <c r="R152" s="3" t="n">
        <f aca="false">IF(F152="Below 20,000",10000,IF(F152="20,000-40,000",30000,IF(F152="40,000-60,000",50000,IF(F152="60,000-80,000",70000,IF(F152="Above 80,000",100000,0)))))</f>
        <v>100000</v>
      </c>
      <c r="S152" s="3" t="n">
        <f aca="false">IF(G152="Yes",1,0)</f>
        <v>1</v>
      </c>
    </row>
    <row r="153" customFormat="false" ht="15" hidden="false" customHeight="true" outlineLevel="0" collapsed="false">
      <c r="A153" s="4" t="str">
        <f aca="false">Raw_Data!A153</f>
        <v>R152</v>
      </c>
      <c r="B153" s="4" t="n">
        <f aca="false">Raw_Data!B153</f>
        <v>23</v>
      </c>
      <c r="C153" s="4" t="str">
        <f aca="false">Raw_Data!C153</f>
        <v>Male</v>
      </c>
      <c r="D153" s="4" t="str">
        <f aca="false">Raw_Data!D153</f>
        <v>Mumbai</v>
      </c>
      <c r="E153" s="4" t="str">
        <f aca="false">Raw_Data!E153</f>
        <v>Student</v>
      </c>
      <c r="F153" s="4" t="str">
        <f aca="false">Raw_Data!F153</f>
        <v>40,000-60,000</v>
      </c>
      <c r="G153" s="4" t="str">
        <f aca="false">Raw_Data!G153</f>
        <v>No</v>
      </c>
      <c r="H153" s="4" t="n">
        <f aca="false">Raw_Data!H153</f>
        <v>0</v>
      </c>
      <c r="I153" s="4" t="n">
        <f aca="false">Raw_Data!I153</f>
        <v>0</v>
      </c>
      <c r="J153" s="4" t="n">
        <f aca="false">Raw_Data!J153</f>
        <v>0</v>
      </c>
      <c r="K153" s="4" t="n">
        <f aca="false">Raw_Data!K153</f>
        <v>0</v>
      </c>
      <c r="L153" s="4" t="n">
        <f aca="false">Raw_Data!L153</f>
        <v>2</v>
      </c>
      <c r="M153" s="4" t="str">
        <f aca="false">Raw_Data!M153</f>
        <v>High</v>
      </c>
      <c r="N153" s="4" t="str">
        <f aca="false">Raw_Data!N153</f>
        <v>Physical Gold</v>
      </c>
      <c r="O153" s="4" t="n">
        <f aca="false">Raw_Data!O153</f>
        <v>2</v>
      </c>
      <c r="P153" s="4" t="n">
        <f aca="false">Raw_Data!P153</f>
        <v>5</v>
      </c>
      <c r="Q153" s="4" t="str">
        <f aca="false">IF(OR(B153="",B153=0),"Unknown",IF(B153&lt;=25,"18-25",IF(B153&lt;=35,"26-35",IF(B153&lt;=45,"36-45","46+"))))</f>
        <v>18-25</v>
      </c>
      <c r="R153" s="4" t="n">
        <f aca="false">IF(F153="Below 20,000",10000,IF(F153="20,000-40,000",30000,IF(F153="40,000-60,000",50000,IF(F153="60,000-80,000",70000,IF(F153="Above 80,000",100000,0)))))</f>
        <v>50000</v>
      </c>
      <c r="S153" s="4" t="n">
        <f aca="false">IF(G153="Yes",1,0)</f>
        <v>0</v>
      </c>
    </row>
    <row r="154" customFormat="false" ht="15" hidden="false" customHeight="true" outlineLevel="0" collapsed="false">
      <c r="A154" s="3" t="str">
        <f aca="false">Raw_Data!A154</f>
        <v>R153</v>
      </c>
      <c r="B154" s="3" t="n">
        <f aca="false">Raw_Data!B154</f>
        <v>52</v>
      </c>
      <c r="C154" s="3" t="str">
        <f aca="false">Raw_Data!C154</f>
        <v>Female</v>
      </c>
      <c r="D154" s="3" t="str">
        <f aca="false">Raw_Data!D154</f>
        <v>Chennai</v>
      </c>
      <c r="E154" s="3" t="str">
        <f aca="false">Raw_Data!E154</f>
        <v>Freelancer</v>
      </c>
      <c r="F154" s="3" t="str">
        <f aca="false">Raw_Data!F154</f>
        <v>20,000-40,000</v>
      </c>
      <c r="G154" s="3" t="str">
        <f aca="false">Raw_Data!G154</f>
        <v>Yes</v>
      </c>
      <c r="H154" s="3" t="str">
        <f aca="false">Raw_Data!H154</f>
        <v>Google Pay</v>
      </c>
      <c r="I154" s="3" t="str">
        <f aca="false">Raw_Data!I154</f>
        <v>Monthly</v>
      </c>
      <c r="J154" s="3" t="n">
        <f aca="false">Raw_Data!J154</f>
        <v>3302</v>
      </c>
      <c r="K154" s="3" t="str">
        <f aca="false">Raw_Data!K154</f>
        <v>Gifting</v>
      </c>
      <c r="L154" s="3" t="n">
        <f aca="false">Raw_Data!L154</f>
        <v>1</v>
      </c>
      <c r="M154" s="3" t="str">
        <f aca="false">Raw_Data!M154</f>
        <v>High</v>
      </c>
      <c r="N154" s="3" t="str">
        <f aca="false">Raw_Data!N154</f>
        <v>Mutual Funds</v>
      </c>
      <c r="O154" s="3" t="n">
        <f aca="false">Raw_Data!O154</f>
        <v>5</v>
      </c>
      <c r="P154" s="3" t="n">
        <f aca="false">Raw_Data!P154</f>
        <v>5</v>
      </c>
      <c r="Q154" s="3" t="str">
        <f aca="false">IF(OR(B154="",B154=0),"Unknown",IF(B154&lt;=25,"18-25",IF(B154&lt;=35,"26-35",IF(B154&lt;=45,"36-45","46+"))))</f>
        <v>46+</v>
      </c>
      <c r="R154" s="3" t="n">
        <f aca="false">IF(F154="Below 20,000",10000,IF(F154="20,000-40,000",30000,IF(F154="40,000-60,000",50000,IF(F154="60,000-80,000",70000,IF(F154="Above 80,000",100000,0)))))</f>
        <v>30000</v>
      </c>
      <c r="S154" s="3" t="n">
        <f aca="false">IF(G154="Yes",1,0)</f>
        <v>1</v>
      </c>
    </row>
    <row r="155" customFormat="false" ht="15" hidden="false" customHeight="true" outlineLevel="0" collapsed="false">
      <c r="A155" s="4" t="str">
        <f aca="false">Raw_Data!A155</f>
        <v>R154</v>
      </c>
      <c r="B155" s="4" t="n">
        <f aca="false">Raw_Data!B155</f>
        <v>37</v>
      </c>
      <c r="C155" s="4" t="str">
        <f aca="false">Raw_Data!C155</f>
        <v>Female</v>
      </c>
      <c r="D155" s="4" t="str">
        <f aca="false">Raw_Data!D155</f>
        <v>Lucknow</v>
      </c>
      <c r="E155" s="4" t="str">
        <f aca="false">Raw_Data!E155</f>
        <v>Government Employee</v>
      </c>
      <c r="F155" s="4" t="str">
        <f aca="false">Raw_Data!F155</f>
        <v>40,000-60,000</v>
      </c>
      <c r="G155" s="4" t="str">
        <f aca="false">Raw_Data!G155</f>
        <v>Yes</v>
      </c>
      <c r="H155" s="4" t="str">
        <f aca="false">Raw_Data!H155</f>
        <v>Groww</v>
      </c>
      <c r="I155" s="4" t="str">
        <f aca="false">Raw_Data!I155</f>
        <v>Daily</v>
      </c>
      <c r="J155" s="4" t="n">
        <f aca="false">Raw_Data!J155</f>
        <v>3367</v>
      </c>
      <c r="K155" s="4" t="str">
        <f aca="false">Raw_Data!K155</f>
        <v>Savings</v>
      </c>
      <c r="L155" s="4" t="n">
        <f aca="false">Raw_Data!L155</f>
        <v>3</v>
      </c>
      <c r="M155" s="4" t="str">
        <f aca="false">Raw_Data!M155</f>
        <v>High</v>
      </c>
      <c r="N155" s="4" t="str">
        <f aca="false">Raw_Data!N155</f>
        <v>Fixed Deposit</v>
      </c>
      <c r="O155" s="4" t="n">
        <f aca="false">Raw_Data!O155</f>
        <v>3</v>
      </c>
      <c r="P155" s="4" t="n">
        <f aca="false">Raw_Data!P155</f>
        <v>5</v>
      </c>
      <c r="Q155" s="4" t="str">
        <f aca="false">IF(OR(B155="",B155=0),"Unknown",IF(B155&lt;=25,"18-25",IF(B155&lt;=35,"26-35",IF(B155&lt;=45,"36-45","46+"))))</f>
        <v>36-45</v>
      </c>
      <c r="R155" s="4" t="n">
        <f aca="false">IF(F155="Below 20,000",10000,IF(F155="20,000-40,000",30000,IF(F155="40,000-60,000",50000,IF(F155="60,000-80,000",70000,IF(F155="Above 80,000",100000,0)))))</f>
        <v>50000</v>
      </c>
      <c r="S155" s="4" t="n">
        <f aca="false">IF(G155="Yes",1,0)</f>
        <v>1</v>
      </c>
    </row>
    <row r="156" customFormat="false" ht="15" hidden="false" customHeight="true" outlineLevel="0" collapsed="false">
      <c r="A156" s="3" t="str">
        <f aca="false">Raw_Data!A156</f>
        <v>R155</v>
      </c>
      <c r="B156" s="3" t="n">
        <f aca="false">Raw_Data!B156</f>
        <v>34</v>
      </c>
      <c r="C156" s="3" t="str">
        <f aca="false">Raw_Data!C156</f>
        <v>Male</v>
      </c>
      <c r="D156" s="3" t="str">
        <f aca="false">Raw_Data!D156</f>
        <v>Chennai</v>
      </c>
      <c r="E156" s="3" t="str">
        <f aca="false">Raw_Data!E156</f>
        <v>Student</v>
      </c>
      <c r="F156" s="3" t="str">
        <f aca="false">Raw_Data!F156</f>
        <v>40,000-60,000</v>
      </c>
      <c r="G156" s="3" t="str">
        <f aca="false">Raw_Data!G156</f>
        <v>Yes</v>
      </c>
      <c r="H156" s="3" t="str">
        <f aca="false">Raw_Data!H156</f>
        <v>Google Pay</v>
      </c>
      <c r="I156" s="3" t="str">
        <f aca="false">Raw_Data!I156</f>
        <v>Quarterly</v>
      </c>
      <c r="J156" s="3" t="n">
        <f aca="false">Raw_Data!J156</f>
        <v>5027</v>
      </c>
      <c r="K156" s="3" t="str">
        <f aca="false">Raw_Data!K156</f>
        <v>Savings</v>
      </c>
      <c r="L156" s="3" t="n">
        <f aca="false">Raw_Data!L156</f>
        <v>2</v>
      </c>
      <c r="M156" s="3" t="str">
        <f aca="false">Raw_Data!M156</f>
        <v>Medium</v>
      </c>
      <c r="N156" s="3" t="str">
        <f aca="false">Raw_Data!N156</f>
        <v>Digital Gold</v>
      </c>
      <c r="O156" s="3" t="n">
        <f aca="false">Raw_Data!O156</f>
        <v>2</v>
      </c>
      <c r="P156" s="3" t="n">
        <f aca="false">Raw_Data!P156</f>
        <v>9</v>
      </c>
      <c r="Q156" s="3" t="str">
        <f aca="false">IF(OR(B156="",B156=0),"Unknown",IF(B156&lt;=25,"18-25",IF(B156&lt;=35,"26-35",IF(B156&lt;=45,"36-45","46+"))))</f>
        <v>26-35</v>
      </c>
      <c r="R156" s="3" t="n">
        <f aca="false">IF(F156="Below 20,000",10000,IF(F156="20,000-40,000",30000,IF(F156="40,000-60,000",50000,IF(F156="60,000-80,000",70000,IF(F156="Above 80,000",100000,0)))))</f>
        <v>50000</v>
      </c>
      <c r="S156" s="3" t="n">
        <f aca="false">IF(G156="Yes",1,0)</f>
        <v>1</v>
      </c>
    </row>
    <row r="157" customFormat="false" ht="15" hidden="false" customHeight="true" outlineLevel="0" collapsed="false">
      <c r="A157" s="4" t="str">
        <f aca="false">Raw_Data!A157</f>
        <v>R156</v>
      </c>
      <c r="B157" s="4" t="n">
        <f aca="false">Raw_Data!B157</f>
        <v>23</v>
      </c>
      <c r="C157" s="4" t="str">
        <f aca="false">Raw_Data!C157</f>
        <v>Female</v>
      </c>
      <c r="D157" s="4" t="str">
        <f aca="false">Raw_Data!D157</f>
        <v>Hyderabad</v>
      </c>
      <c r="E157" s="4" t="str">
        <f aca="false">Raw_Data!E157</f>
        <v>Homemaker</v>
      </c>
      <c r="F157" s="4" t="str">
        <f aca="false">Raw_Data!F157</f>
        <v>60,000-80,000</v>
      </c>
      <c r="G157" s="4" t="str">
        <f aca="false">Raw_Data!G157</f>
        <v>No</v>
      </c>
      <c r="H157" s="4" t="n">
        <f aca="false">Raw_Data!H157</f>
        <v>0</v>
      </c>
      <c r="I157" s="4" t="n">
        <f aca="false">Raw_Data!I157</f>
        <v>0</v>
      </c>
      <c r="J157" s="4" t="n">
        <f aca="false">Raw_Data!J157</f>
        <v>0</v>
      </c>
      <c r="K157" s="4" t="n">
        <f aca="false">Raw_Data!K157</f>
        <v>0</v>
      </c>
      <c r="L157" s="4" t="n">
        <f aca="false">Raw_Data!L157</f>
        <v>3</v>
      </c>
      <c r="M157" s="4" t="str">
        <f aca="false">Raw_Data!M157</f>
        <v>Low</v>
      </c>
      <c r="N157" s="4" t="str">
        <f aca="false">Raw_Data!N157</f>
        <v>Physical Gold</v>
      </c>
      <c r="O157" s="4" t="n">
        <f aca="false">Raw_Data!O157</f>
        <v>4</v>
      </c>
      <c r="P157" s="4" t="n">
        <f aca="false">Raw_Data!P157</f>
        <v>9</v>
      </c>
      <c r="Q157" s="4" t="str">
        <f aca="false">IF(OR(B157="",B157=0),"Unknown",IF(B157&lt;=25,"18-25",IF(B157&lt;=35,"26-35",IF(B157&lt;=45,"36-45","46+"))))</f>
        <v>18-25</v>
      </c>
      <c r="R157" s="4" t="n">
        <f aca="false">IF(F157="Below 20,000",10000,IF(F157="20,000-40,000",30000,IF(F157="40,000-60,000",50000,IF(F157="60,000-80,000",70000,IF(F157="Above 80,000",100000,0)))))</f>
        <v>70000</v>
      </c>
      <c r="S157" s="4" t="n">
        <f aca="false">IF(G157="Yes",1,0)</f>
        <v>0</v>
      </c>
    </row>
    <row r="158" customFormat="false" ht="15" hidden="false" customHeight="true" outlineLevel="0" collapsed="false">
      <c r="A158" s="3" t="str">
        <f aca="false">Raw_Data!A158</f>
        <v>R157</v>
      </c>
      <c r="B158" s="3" t="n">
        <f aca="false">Raw_Data!B158</f>
        <v>30</v>
      </c>
      <c r="C158" s="3" t="str">
        <f aca="false">Raw_Data!C158</f>
        <v>Female</v>
      </c>
      <c r="D158" s="3" t="str">
        <f aca="false">Raw_Data!D158</f>
        <v>Hyderabad</v>
      </c>
      <c r="E158" s="3" t="str">
        <f aca="false">Raw_Data!E158</f>
        <v>Student</v>
      </c>
      <c r="F158" s="3" t="str">
        <f aca="false">Raw_Data!F158</f>
        <v>Below 20,000</v>
      </c>
      <c r="G158" s="3" t="str">
        <f aca="false">Raw_Data!G158</f>
        <v>Yes</v>
      </c>
      <c r="H158" s="3" t="str">
        <f aca="false">Raw_Data!H158</f>
        <v>Paytm</v>
      </c>
      <c r="I158" s="3" t="str">
        <f aca="false">Raw_Data!I158</f>
        <v>Monthly</v>
      </c>
      <c r="J158" s="3" t="n">
        <f aca="false">Raw_Data!J158</f>
        <v>1250</v>
      </c>
      <c r="K158" s="3" t="str">
        <f aca="false">Raw_Data!K158</f>
        <v>Investment</v>
      </c>
      <c r="L158" s="3" t="n">
        <f aca="false">Raw_Data!L158</f>
        <v>0</v>
      </c>
      <c r="M158" s="3" t="str">
        <f aca="false">Raw_Data!M158</f>
        <v>Low</v>
      </c>
      <c r="N158" s="3" t="str">
        <f aca="false">Raw_Data!N158</f>
        <v>Mutual Funds</v>
      </c>
      <c r="O158" s="3" t="n">
        <f aca="false">Raw_Data!O158</f>
        <v>4</v>
      </c>
      <c r="P158" s="3" t="n">
        <f aca="false">Raw_Data!P158</f>
        <v>8</v>
      </c>
      <c r="Q158" s="3" t="str">
        <f aca="false">IF(OR(B158="",B158=0),"Unknown",IF(B158&lt;=25,"18-25",IF(B158&lt;=35,"26-35",IF(B158&lt;=45,"36-45","46+"))))</f>
        <v>26-35</v>
      </c>
      <c r="R158" s="3" t="n">
        <f aca="false">IF(F158="Below 20,000",10000,IF(F158="20,000-40,000",30000,IF(F158="40,000-60,000",50000,IF(F158="60,000-80,000",70000,IF(F158="Above 80,000",100000,0)))))</f>
        <v>10000</v>
      </c>
      <c r="S158" s="3" t="n">
        <f aca="false">IF(G158="Yes",1,0)</f>
        <v>1</v>
      </c>
    </row>
    <row r="159" customFormat="false" ht="15" hidden="false" customHeight="true" outlineLevel="0" collapsed="false">
      <c r="A159" s="4" t="str">
        <f aca="false">Raw_Data!A159</f>
        <v>R158</v>
      </c>
      <c r="B159" s="4" t="n">
        <f aca="false">Raw_Data!B159</f>
        <v>40</v>
      </c>
      <c r="C159" s="4" t="str">
        <f aca="false">Raw_Data!C159</f>
        <v>Female</v>
      </c>
      <c r="D159" s="4" t="str">
        <f aca="false">Raw_Data!D159</f>
        <v>Lucknow</v>
      </c>
      <c r="E159" s="4" t="str">
        <f aca="false">Raw_Data!E159</f>
        <v>Homemaker</v>
      </c>
      <c r="F159" s="4" t="str">
        <f aca="false">Raw_Data!F159</f>
        <v>20,000-40,000</v>
      </c>
      <c r="G159" s="4" t="str">
        <f aca="false">Raw_Data!G159</f>
        <v>No</v>
      </c>
      <c r="H159" s="4" t="n">
        <f aca="false">Raw_Data!H159</f>
        <v>0</v>
      </c>
      <c r="I159" s="4" t="n">
        <f aca="false">Raw_Data!I159</f>
        <v>0</v>
      </c>
      <c r="J159" s="4" t="n">
        <f aca="false">Raw_Data!J159</f>
        <v>0</v>
      </c>
      <c r="K159" s="4" t="n">
        <f aca="false">Raw_Data!K159</f>
        <v>0</v>
      </c>
      <c r="L159" s="4" t="n">
        <f aca="false">Raw_Data!L159</f>
        <v>3</v>
      </c>
      <c r="M159" s="4" t="str">
        <f aca="false">Raw_Data!M159</f>
        <v>Medium</v>
      </c>
      <c r="N159" s="4" t="str">
        <f aca="false">Raw_Data!N159</f>
        <v>Mutual Funds</v>
      </c>
      <c r="O159" s="4" t="n">
        <f aca="false">Raw_Data!O159</f>
        <v>3</v>
      </c>
      <c r="P159" s="4" t="n">
        <f aca="false">Raw_Data!P159</f>
        <v>5</v>
      </c>
      <c r="Q159" s="4" t="str">
        <f aca="false">IF(OR(B159="",B159=0),"Unknown",IF(B159&lt;=25,"18-25",IF(B159&lt;=35,"26-35",IF(B159&lt;=45,"36-45","46+"))))</f>
        <v>36-45</v>
      </c>
      <c r="R159" s="4" t="n">
        <f aca="false">IF(F159="Below 20,000",10000,IF(F159="20,000-40,000",30000,IF(F159="40,000-60,000",50000,IF(F159="60,000-80,000",70000,IF(F159="Above 80,000",100000,0)))))</f>
        <v>30000</v>
      </c>
      <c r="S159" s="4" t="n">
        <f aca="false">IF(G159="Yes",1,0)</f>
        <v>0</v>
      </c>
    </row>
    <row r="160" customFormat="false" ht="15" hidden="false" customHeight="true" outlineLevel="0" collapsed="false">
      <c r="A160" s="3" t="str">
        <f aca="false">Raw_Data!A160</f>
        <v>R159</v>
      </c>
      <c r="B160" s="3" t="n">
        <f aca="false">Raw_Data!B160</f>
        <v>60</v>
      </c>
      <c r="C160" s="3" t="str">
        <f aca="false">Raw_Data!C160</f>
        <v>Male</v>
      </c>
      <c r="D160" s="3" t="str">
        <f aca="false">Raw_Data!D160</f>
        <v>Hyderabad</v>
      </c>
      <c r="E160" s="3" t="str">
        <f aca="false">Raw_Data!E160</f>
        <v>Freelancer</v>
      </c>
      <c r="F160" s="3" t="str">
        <f aca="false">Raw_Data!F160</f>
        <v>Above 80,000</v>
      </c>
      <c r="G160" s="3" t="str">
        <f aca="false">Raw_Data!G160</f>
        <v>Yes</v>
      </c>
      <c r="H160" s="3" t="str">
        <f aca="false">Raw_Data!H160</f>
        <v>PhonePe</v>
      </c>
      <c r="I160" s="3" t="str">
        <f aca="false">Raw_Data!I160</f>
        <v>Rarely</v>
      </c>
      <c r="J160" s="3" t="n">
        <f aca="false">Raw_Data!J160</f>
        <v>18604</v>
      </c>
      <c r="K160" s="3" t="str">
        <f aca="false">Raw_Data!K160</f>
        <v>Investment</v>
      </c>
      <c r="L160" s="3" t="n">
        <f aca="false">Raw_Data!L160</f>
        <v>5</v>
      </c>
      <c r="M160" s="3" t="str">
        <f aca="false">Raw_Data!M160</f>
        <v>High</v>
      </c>
      <c r="N160" s="3" t="str">
        <f aca="false">Raw_Data!N160</f>
        <v>Physical Gold</v>
      </c>
      <c r="O160" s="3" t="n">
        <f aca="false">Raw_Data!O160</f>
        <v>3</v>
      </c>
      <c r="P160" s="3" t="n">
        <f aca="false">Raw_Data!P160</f>
        <v>7</v>
      </c>
      <c r="Q160" s="3" t="str">
        <f aca="false">IF(OR(B160="",B160=0),"Unknown",IF(B160&lt;=25,"18-25",IF(B160&lt;=35,"26-35",IF(B160&lt;=45,"36-45","46+"))))</f>
        <v>46+</v>
      </c>
      <c r="R160" s="3" t="n">
        <f aca="false">IF(F160="Below 20,000",10000,IF(F160="20,000-40,000",30000,IF(F160="40,000-60,000",50000,IF(F160="60,000-80,000",70000,IF(F160="Above 80,000",100000,0)))))</f>
        <v>100000</v>
      </c>
      <c r="S160" s="3" t="n">
        <f aca="false">IF(G160="Yes",1,0)</f>
        <v>1</v>
      </c>
    </row>
    <row r="161" customFormat="false" ht="15" hidden="false" customHeight="true" outlineLevel="0" collapsed="false">
      <c r="A161" s="4" t="str">
        <f aca="false">Raw_Data!A161</f>
        <v>R160</v>
      </c>
      <c r="B161" s="4" t="n">
        <f aca="false">Raw_Data!B161</f>
        <v>28</v>
      </c>
      <c r="C161" s="4" t="str">
        <f aca="false">Raw_Data!C161</f>
        <v>Female</v>
      </c>
      <c r="D161" s="4" t="str">
        <f aca="false">Raw_Data!D161</f>
        <v>Delhi</v>
      </c>
      <c r="E161" s="4" t="str">
        <f aca="false">Raw_Data!E161</f>
        <v>Homemaker</v>
      </c>
      <c r="F161" s="4" t="n">
        <f aca="false">Raw_Data!F161</f>
        <v>0</v>
      </c>
      <c r="G161" s="4" t="str">
        <f aca="false">Raw_Data!G161</f>
        <v>Yes</v>
      </c>
      <c r="H161" s="4" t="str">
        <f aca="false">Raw_Data!H161</f>
        <v>MMTC-PAMP</v>
      </c>
      <c r="I161" s="4" t="str">
        <f aca="false">Raw_Data!I161</f>
        <v>Daily</v>
      </c>
      <c r="J161" s="4" t="n">
        <f aca="false">Raw_Data!J161</f>
        <v>1215</v>
      </c>
      <c r="K161" s="4" t="str">
        <f aca="false">Raw_Data!K161</f>
        <v>Savings</v>
      </c>
      <c r="L161" s="4" t="n">
        <f aca="false">Raw_Data!L161</f>
        <v>1</v>
      </c>
      <c r="M161" s="4" t="str">
        <f aca="false">Raw_Data!M161</f>
        <v>Medium</v>
      </c>
      <c r="N161" s="4" t="str">
        <f aca="false">Raw_Data!N161</f>
        <v>Digital Gold</v>
      </c>
      <c r="O161" s="4" t="n">
        <f aca="false">Raw_Data!O161</f>
        <v>4</v>
      </c>
      <c r="P161" s="4" t="n">
        <f aca="false">Raw_Data!P161</f>
        <v>10</v>
      </c>
      <c r="Q161" s="4" t="str">
        <f aca="false">IF(OR(B161="",B161=0),"Unknown",IF(B161&lt;=25,"18-25",IF(B161&lt;=35,"26-35",IF(B161&lt;=45,"36-45","46+"))))</f>
        <v>26-35</v>
      </c>
      <c r="R161" s="4" t="n">
        <f aca="false">IF(F161="Below 20,000",10000,IF(F161="20,000-40,000",30000,IF(F161="40,000-60,000",50000,IF(F161="60,000-80,000",70000,IF(F161="Above 80,000",100000,0)))))</f>
        <v>0</v>
      </c>
      <c r="S161" s="4" t="n">
        <f aca="false">IF(G161="Yes",1,0)</f>
        <v>1</v>
      </c>
    </row>
    <row r="162" customFormat="false" ht="15" hidden="false" customHeight="true" outlineLevel="0" collapsed="false">
      <c r="A162" s="3" t="str">
        <f aca="false">Raw_Data!A162</f>
        <v>R161</v>
      </c>
      <c r="B162" s="3" t="n">
        <f aca="false">Raw_Data!B162</f>
        <v>28</v>
      </c>
      <c r="C162" s="3" t="n">
        <f aca="false">Raw_Data!C162</f>
        <v>0</v>
      </c>
      <c r="D162" s="3" t="str">
        <f aca="false">Raw_Data!D162</f>
        <v>Delhi</v>
      </c>
      <c r="E162" s="3" t="str">
        <f aca="false">Raw_Data!E162</f>
        <v>Freelancer</v>
      </c>
      <c r="F162" s="3" t="str">
        <f aca="false">Raw_Data!F162</f>
        <v>Below 20,000</v>
      </c>
      <c r="G162" s="3" t="str">
        <f aca="false">Raw_Data!G162</f>
        <v>Yes</v>
      </c>
      <c r="H162" s="3" t="str">
        <f aca="false">Raw_Data!H162</f>
        <v>MMTC-PAMP</v>
      </c>
      <c r="I162" s="3" t="str">
        <f aca="false">Raw_Data!I162</f>
        <v>Quarterly</v>
      </c>
      <c r="J162" s="3" t="n">
        <f aca="false">Raw_Data!J162</f>
        <v>899</v>
      </c>
      <c r="K162" s="3" t="str">
        <f aca="false">Raw_Data!K162</f>
        <v>Gifting</v>
      </c>
      <c r="L162" s="3" t="n">
        <f aca="false">Raw_Data!L162</f>
        <v>1</v>
      </c>
      <c r="M162" s="3" t="str">
        <f aca="false">Raw_Data!M162</f>
        <v>High</v>
      </c>
      <c r="N162" s="3" t="str">
        <f aca="false">Raw_Data!N162</f>
        <v>Digital Gold</v>
      </c>
      <c r="O162" s="3" t="n">
        <f aca="false">Raw_Data!O162</f>
        <v>4</v>
      </c>
      <c r="P162" s="3" t="n">
        <f aca="false">Raw_Data!P162</f>
        <v>9</v>
      </c>
      <c r="Q162" s="3" t="str">
        <f aca="false">IF(OR(B162="",B162=0),"Unknown",IF(B162&lt;=25,"18-25",IF(B162&lt;=35,"26-35",IF(B162&lt;=45,"36-45","46+"))))</f>
        <v>26-35</v>
      </c>
      <c r="R162" s="3" t="n">
        <f aca="false">IF(F162="Below 20,000",10000,IF(F162="20,000-40,000",30000,IF(F162="40,000-60,000",50000,IF(F162="60,000-80,000",70000,IF(F162="Above 80,000",100000,0)))))</f>
        <v>10000</v>
      </c>
      <c r="S162" s="3" t="n">
        <f aca="false">IF(G162="Yes",1,0)</f>
        <v>1</v>
      </c>
    </row>
    <row r="163" customFormat="false" ht="15" hidden="false" customHeight="true" outlineLevel="0" collapsed="false">
      <c r="A163" s="4" t="str">
        <f aca="false">Raw_Data!A163</f>
        <v>R162</v>
      </c>
      <c r="B163" s="4" t="n">
        <f aca="false">Raw_Data!B163</f>
        <v>36</v>
      </c>
      <c r="C163" s="4" t="str">
        <f aca="false">Raw_Data!C163</f>
        <v>Male</v>
      </c>
      <c r="D163" s="4" t="str">
        <f aca="false">Raw_Data!D163</f>
        <v>Lucknow</v>
      </c>
      <c r="E163" s="4" t="str">
        <f aca="false">Raw_Data!E163</f>
        <v>Homemaker</v>
      </c>
      <c r="F163" s="4" t="str">
        <f aca="false">Raw_Data!F163</f>
        <v>Above 80,000</v>
      </c>
      <c r="G163" s="4" t="str">
        <f aca="false">Raw_Data!G163</f>
        <v>Yes</v>
      </c>
      <c r="H163" s="4" t="str">
        <f aca="false">Raw_Data!H163</f>
        <v>Google Pay</v>
      </c>
      <c r="I163" s="4" t="str">
        <f aca="false">Raw_Data!I163</f>
        <v>Quarterly</v>
      </c>
      <c r="J163" s="4" t="n">
        <f aca="false">Raw_Data!J163</f>
        <v>10388</v>
      </c>
      <c r="K163" s="4" t="str">
        <f aca="false">Raw_Data!K163</f>
        <v>Gifting</v>
      </c>
      <c r="L163" s="4" t="n">
        <f aca="false">Raw_Data!L163</f>
        <v>3</v>
      </c>
      <c r="M163" s="4" t="str">
        <f aca="false">Raw_Data!M163</f>
        <v>Medium</v>
      </c>
      <c r="N163" s="4" t="str">
        <f aca="false">Raw_Data!N163</f>
        <v>Mutual Funds</v>
      </c>
      <c r="O163" s="4" t="n">
        <f aca="false">Raw_Data!O163</f>
        <v>1</v>
      </c>
      <c r="P163" s="4" t="n">
        <f aca="false">Raw_Data!P163</f>
        <v>7</v>
      </c>
      <c r="Q163" s="4" t="str">
        <f aca="false">IF(OR(B163="",B163=0),"Unknown",IF(B163&lt;=25,"18-25",IF(B163&lt;=35,"26-35",IF(B163&lt;=45,"36-45","46+"))))</f>
        <v>36-45</v>
      </c>
      <c r="R163" s="4" t="n">
        <f aca="false">IF(F163="Below 20,000",10000,IF(F163="20,000-40,000",30000,IF(F163="40,000-60,000",50000,IF(F163="60,000-80,000",70000,IF(F163="Above 80,000",100000,0)))))</f>
        <v>100000</v>
      </c>
      <c r="S163" s="4" t="n">
        <f aca="false">IF(G163="Yes",1,0)</f>
        <v>1</v>
      </c>
    </row>
    <row r="164" customFormat="false" ht="15" hidden="false" customHeight="true" outlineLevel="0" collapsed="false">
      <c r="A164" s="3" t="str">
        <f aca="false">Raw_Data!A164</f>
        <v>R163</v>
      </c>
      <c r="B164" s="3" t="n">
        <f aca="false">Raw_Data!B164</f>
        <v>33</v>
      </c>
      <c r="C164" s="3" t="str">
        <f aca="false">Raw_Data!C164</f>
        <v>Male</v>
      </c>
      <c r="D164" s="3" t="str">
        <f aca="false">Raw_Data!D164</f>
        <v>Jaipur</v>
      </c>
      <c r="E164" s="3" t="str">
        <f aca="false">Raw_Data!E164</f>
        <v>Government Employee</v>
      </c>
      <c r="F164" s="3" t="str">
        <f aca="false">Raw_Data!F164</f>
        <v>60,000-80,000</v>
      </c>
      <c r="G164" s="3" t="str">
        <f aca="false">Raw_Data!G164</f>
        <v>Yes</v>
      </c>
      <c r="H164" s="3" t="str">
        <f aca="false">Raw_Data!H164</f>
        <v>Google Pay</v>
      </c>
      <c r="I164" s="3" t="str">
        <f aca="false">Raw_Data!I164</f>
        <v>Rarely</v>
      </c>
      <c r="J164" s="3" t="n">
        <f aca="false">Raw_Data!J164</f>
        <v>3197</v>
      </c>
      <c r="K164" s="3" t="str">
        <f aca="false">Raw_Data!K164</f>
        <v>Gifting</v>
      </c>
      <c r="L164" s="3" t="n">
        <f aca="false">Raw_Data!L164</f>
        <v>0</v>
      </c>
      <c r="M164" s="3" t="str">
        <f aca="false">Raw_Data!M164</f>
        <v>Low</v>
      </c>
      <c r="N164" s="3" t="str">
        <f aca="false">Raw_Data!N164</f>
        <v>Fixed Deposit</v>
      </c>
      <c r="O164" s="3" t="n">
        <f aca="false">Raw_Data!O164</f>
        <v>5</v>
      </c>
      <c r="P164" s="3" t="n">
        <f aca="false">Raw_Data!P164</f>
        <v>7</v>
      </c>
      <c r="Q164" s="3" t="str">
        <f aca="false">IF(OR(B164="",B164=0),"Unknown",IF(B164&lt;=25,"18-25",IF(B164&lt;=35,"26-35",IF(B164&lt;=45,"36-45","46+"))))</f>
        <v>26-35</v>
      </c>
      <c r="R164" s="3" t="n">
        <f aca="false">IF(F164="Below 20,000",10000,IF(F164="20,000-40,000",30000,IF(F164="40,000-60,000",50000,IF(F164="60,000-80,000",70000,IF(F164="Above 80,000",100000,0)))))</f>
        <v>70000</v>
      </c>
      <c r="S164" s="3" t="n">
        <f aca="false">IF(G164="Yes",1,0)</f>
        <v>1</v>
      </c>
    </row>
    <row r="165" customFormat="false" ht="15" hidden="false" customHeight="true" outlineLevel="0" collapsed="false">
      <c r="A165" s="4" t="str">
        <f aca="false">Raw_Data!A165</f>
        <v>R164</v>
      </c>
      <c r="B165" s="4" t="n">
        <f aca="false">Raw_Data!B165</f>
        <v>23</v>
      </c>
      <c r="C165" s="4" t="str">
        <f aca="false">Raw_Data!C165</f>
        <v>Male</v>
      </c>
      <c r="D165" s="4" t="str">
        <f aca="false">Raw_Data!D165</f>
        <v>Kolkata</v>
      </c>
      <c r="E165" s="4" t="str">
        <f aca="false">Raw_Data!E165</f>
        <v>Salaried</v>
      </c>
      <c r="F165" s="4" t="str">
        <f aca="false">Raw_Data!F165</f>
        <v>60,000-80,000</v>
      </c>
      <c r="G165" s="4" t="str">
        <f aca="false">Raw_Data!G165</f>
        <v>No</v>
      </c>
      <c r="H165" s="4" t="n">
        <f aca="false">Raw_Data!H165</f>
        <v>0</v>
      </c>
      <c r="I165" s="4" t="n">
        <f aca="false">Raw_Data!I165</f>
        <v>0</v>
      </c>
      <c r="J165" s="4" t="n">
        <f aca="false">Raw_Data!J165</f>
        <v>0</v>
      </c>
      <c r="K165" s="4" t="n">
        <f aca="false">Raw_Data!K165</f>
        <v>0</v>
      </c>
      <c r="L165" s="4" t="n">
        <f aca="false">Raw_Data!L165</f>
        <v>1</v>
      </c>
      <c r="M165" s="4" t="str">
        <f aca="false">Raw_Data!M165</f>
        <v>Low</v>
      </c>
      <c r="N165" s="4" t="str">
        <f aca="false">Raw_Data!N165</f>
        <v>Physical Gold</v>
      </c>
      <c r="O165" s="4" t="n">
        <f aca="false">Raw_Data!O165</f>
        <v>5</v>
      </c>
      <c r="P165" s="4" t="n">
        <f aca="false">Raw_Data!P165</f>
        <v>6</v>
      </c>
      <c r="Q165" s="4" t="str">
        <f aca="false">IF(OR(B165="",B165=0),"Unknown",IF(B165&lt;=25,"18-25",IF(B165&lt;=35,"26-35",IF(B165&lt;=45,"36-45","46+"))))</f>
        <v>18-25</v>
      </c>
      <c r="R165" s="4" t="n">
        <f aca="false">IF(F165="Below 20,000",10000,IF(F165="20,000-40,000",30000,IF(F165="40,000-60,000",50000,IF(F165="60,000-80,000",70000,IF(F165="Above 80,000",100000,0)))))</f>
        <v>70000</v>
      </c>
      <c r="S165" s="4" t="n">
        <f aca="false">IF(G165="Yes",1,0)</f>
        <v>0</v>
      </c>
    </row>
    <row r="166" customFormat="false" ht="15" hidden="false" customHeight="true" outlineLevel="0" collapsed="false">
      <c r="A166" s="3" t="str">
        <f aca="false">Raw_Data!A166</f>
        <v>R165</v>
      </c>
      <c r="B166" s="3" t="n">
        <f aca="false">Raw_Data!B166</f>
        <v>37</v>
      </c>
      <c r="C166" s="3" t="str">
        <f aca="false">Raw_Data!C166</f>
        <v>Male</v>
      </c>
      <c r="D166" s="3" t="str">
        <f aca="false">Raw_Data!D166</f>
        <v>Mumbai</v>
      </c>
      <c r="E166" s="3" t="str">
        <f aca="false">Raw_Data!E166</f>
        <v>Freelancer</v>
      </c>
      <c r="F166" s="3" t="n">
        <f aca="false">Raw_Data!F166</f>
        <v>0</v>
      </c>
      <c r="G166" s="3" t="str">
        <f aca="false">Raw_Data!G166</f>
        <v>No</v>
      </c>
      <c r="H166" s="3" t="n">
        <f aca="false">Raw_Data!H166</f>
        <v>0</v>
      </c>
      <c r="I166" s="3" t="n">
        <f aca="false">Raw_Data!I166</f>
        <v>0</v>
      </c>
      <c r="J166" s="3" t="n">
        <f aca="false">Raw_Data!J166</f>
        <v>0</v>
      </c>
      <c r="K166" s="3" t="n">
        <f aca="false">Raw_Data!K166</f>
        <v>0</v>
      </c>
      <c r="L166" s="3" t="n">
        <f aca="false">Raw_Data!L166</f>
        <v>3</v>
      </c>
      <c r="M166" s="3" t="str">
        <f aca="false">Raw_Data!M166</f>
        <v>High</v>
      </c>
      <c r="N166" s="3" t="str">
        <f aca="false">Raw_Data!N166</f>
        <v>Fixed Deposit</v>
      </c>
      <c r="O166" s="3" t="n">
        <f aca="false">Raw_Data!O166</f>
        <v>4</v>
      </c>
      <c r="P166" s="3" t="n">
        <f aca="false">Raw_Data!P166</f>
        <v>2</v>
      </c>
      <c r="Q166" s="3" t="str">
        <f aca="false">IF(OR(B166="",B166=0),"Unknown",IF(B166&lt;=25,"18-25",IF(B166&lt;=35,"26-35",IF(B166&lt;=45,"36-45","46+"))))</f>
        <v>36-45</v>
      </c>
      <c r="R166" s="3" t="n">
        <f aca="false">IF(F166="Below 20,000",10000,IF(F166="20,000-40,000",30000,IF(F166="40,000-60,000",50000,IF(F166="60,000-80,000",70000,IF(F166="Above 80,000",100000,0)))))</f>
        <v>0</v>
      </c>
      <c r="S166" s="3" t="n">
        <f aca="false">IF(G166="Yes",1,0)</f>
        <v>0</v>
      </c>
    </row>
    <row r="167" customFormat="false" ht="15" hidden="false" customHeight="true" outlineLevel="0" collapsed="false">
      <c r="A167" s="4" t="str">
        <f aca="false">Raw_Data!A167</f>
        <v>R166</v>
      </c>
      <c r="B167" s="4" t="n">
        <f aca="false">Raw_Data!B167</f>
        <v>47</v>
      </c>
      <c r="C167" s="4" t="str">
        <f aca="false">Raw_Data!C167</f>
        <v>Female</v>
      </c>
      <c r="D167" s="4" t="str">
        <f aca="false">Raw_Data!D167</f>
        <v>Kolkata</v>
      </c>
      <c r="E167" s="4" t="str">
        <f aca="false">Raw_Data!E167</f>
        <v>Freelancer</v>
      </c>
      <c r="F167" s="4" t="str">
        <f aca="false">Raw_Data!F167</f>
        <v>20,000-40,000</v>
      </c>
      <c r="G167" s="4" t="str">
        <f aca="false">Raw_Data!G167</f>
        <v>Yes</v>
      </c>
      <c r="H167" s="4" t="str">
        <f aca="false">Raw_Data!H167</f>
        <v>PhonePe</v>
      </c>
      <c r="I167" s="4" t="str">
        <f aca="false">Raw_Data!I167</f>
        <v>Daily</v>
      </c>
      <c r="J167" s="4" t="n">
        <f aca="false">Raw_Data!J167</f>
        <v>2425</v>
      </c>
      <c r="K167" s="4" t="str">
        <f aca="false">Raw_Data!K167</f>
        <v>Investment</v>
      </c>
      <c r="L167" s="4" t="n">
        <f aca="false">Raw_Data!L167</f>
        <v>2</v>
      </c>
      <c r="M167" s="4" t="str">
        <f aca="false">Raw_Data!M167</f>
        <v>High</v>
      </c>
      <c r="N167" s="4" t="str">
        <f aca="false">Raw_Data!N167</f>
        <v>Mutual Funds</v>
      </c>
      <c r="O167" s="4" t="n">
        <f aca="false">Raw_Data!O167</f>
        <v>2</v>
      </c>
      <c r="P167" s="4" t="n">
        <f aca="false">Raw_Data!P167</f>
        <v>5</v>
      </c>
      <c r="Q167" s="4" t="str">
        <f aca="false">IF(OR(B167="",B167=0),"Unknown",IF(B167&lt;=25,"18-25",IF(B167&lt;=35,"26-35",IF(B167&lt;=45,"36-45","46+"))))</f>
        <v>46+</v>
      </c>
      <c r="R167" s="4" t="n">
        <f aca="false">IF(F167="Below 20,000",10000,IF(F167="20,000-40,000",30000,IF(F167="40,000-60,000",50000,IF(F167="60,000-80,000",70000,IF(F167="Above 80,000",100000,0)))))</f>
        <v>30000</v>
      </c>
      <c r="S167" s="4" t="n">
        <f aca="false">IF(G167="Yes",1,0)</f>
        <v>1</v>
      </c>
    </row>
    <row r="168" customFormat="false" ht="15" hidden="false" customHeight="true" outlineLevel="0" collapsed="false">
      <c r="A168" s="3" t="str">
        <f aca="false">Raw_Data!A168</f>
        <v>R167</v>
      </c>
      <c r="B168" s="3" t="n">
        <f aca="false">Raw_Data!B168</f>
        <v>41</v>
      </c>
      <c r="C168" s="3" t="str">
        <f aca="false">Raw_Data!C168</f>
        <v>Male</v>
      </c>
      <c r="D168" s="3" t="str">
        <f aca="false">Raw_Data!D168</f>
        <v>Hyderabad</v>
      </c>
      <c r="E168" s="3" t="str">
        <f aca="false">Raw_Data!E168</f>
        <v>Government Employee</v>
      </c>
      <c r="F168" s="3" t="str">
        <f aca="false">Raw_Data!F168</f>
        <v>Above 80,000</v>
      </c>
      <c r="G168" s="3" t="str">
        <f aca="false">Raw_Data!G168</f>
        <v>Yes</v>
      </c>
      <c r="H168" s="3" t="str">
        <f aca="false">Raw_Data!H168</f>
        <v>Zerodha</v>
      </c>
      <c r="I168" s="3" t="str">
        <f aca="false">Raw_Data!I168</f>
        <v>Monthly</v>
      </c>
      <c r="J168" s="3" t="n">
        <f aca="false">Raw_Data!J168</f>
        <v>15780</v>
      </c>
      <c r="K168" s="3" t="str">
        <f aca="false">Raw_Data!K168</f>
        <v>Investment</v>
      </c>
      <c r="L168" s="3" t="n">
        <f aca="false">Raw_Data!L168</f>
        <v>4</v>
      </c>
      <c r="M168" s="3" t="str">
        <f aca="false">Raw_Data!M168</f>
        <v>Low</v>
      </c>
      <c r="N168" s="3" t="str">
        <f aca="false">Raw_Data!N168</f>
        <v>Mutual Funds</v>
      </c>
      <c r="O168" s="3" t="n">
        <f aca="false">Raw_Data!O168</f>
        <v>3</v>
      </c>
      <c r="P168" s="3" t="n">
        <f aca="false">Raw_Data!P168</f>
        <v>6</v>
      </c>
      <c r="Q168" s="3" t="str">
        <f aca="false">IF(OR(B168="",B168=0),"Unknown",IF(B168&lt;=25,"18-25",IF(B168&lt;=35,"26-35",IF(B168&lt;=45,"36-45","46+"))))</f>
        <v>36-45</v>
      </c>
      <c r="R168" s="3" t="n">
        <f aca="false">IF(F168="Below 20,000",10000,IF(F168="20,000-40,000",30000,IF(F168="40,000-60,000",50000,IF(F168="60,000-80,000",70000,IF(F168="Above 80,000",100000,0)))))</f>
        <v>100000</v>
      </c>
      <c r="S168" s="3" t="n">
        <f aca="false">IF(G168="Yes",1,0)</f>
        <v>1</v>
      </c>
    </row>
    <row r="169" customFormat="false" ht="15" hidden="false" customHeight="true" outlineLevel="0" collapsed="false">
      <c r="A169" s="4" t="str">
        <f aca="false">Raw_Data!A169</f>
        <v>R168</v>
      </c>
      <c r="B169" s="4" t="n">
        <f aca="false">Raw_Data!B169</f>
        <v>43</v>
      </c>
      <c r="C169" s="4" t="str">
        <f aca="false">Raw_Data!C169</f>
        <v>Male</v>
      </c>
      <c r="D169" s="4" t="str">
        <f aca="false">Raw_Data!D169</f>
        <v>Delhi</v>
      </c>
      <c r="E169" s="4" t="str">
        <f aca="false">Raw_Data!E169</f>
        <v>Business</v>
      </c>
      <c r="F169" s="4" t="str">
        <f aca="false">Raw_Data!F169</f>
        <v>40,000-60,000</v>
      </c>
      <c r="G169" s="4" t="str">
        <f aca="false">Raw_Data!G169</f>
        <v>Yes</v>
      </c>
      <c r="H169" s="4" t="str">
        <f aca="false">Raw_Data!H169</f>
        <v>MMTC-PAMP</v>
      </c>
      <c r="I169" s="4" t="str">
        <f aca="false">Raw_Data!I169</f>
        <v>Daily</v>
      </c>
      <c r="J169" s="4" t="n">
        <f aca="false">Raw_Data!J169</f>
        <v>2794</v>
      </c>
      <c r="K169" s="4" t="str">
        <f aca="false">Raw_Data!K169</f>
        <v>Investment</v>
      </c>
      <c r="L169" s="4" t="n">
        <f aca="false">Raw_Data!L169</f>
        <v>4</v>
      </c>
      <c r="M169" s="4" t="str">
        <f aca="false">Raw_Data!M169</f>
        <v>Medium</v>
      </c>
      <c r="N169" s="4" t="str">
        <f aca="false">Raw_Data!N169</f>
        <v>Fixed Deposit</v>
      </c>
      <c r="O169" s="4" t="n">
        <f aca="false">Raw_Data!O169</f>
        <v>2</v>
      </c>
      <c r="P169" s="4" t="n">
        <f aca="false">Raw_Data!P169</f>
        <v>6</v>
      </c>
      <c r="Q169" s="4" t="str">
        <f aca="false">IF(OR(B169="",B169=0),"Unknown",IF(B169&lt;=25,"18-25",IF(B169&lt;=35,"26-35",IF(B169&lt;=45,"36-45","46+"))))</f>
        <v>36-45</v>
      </c>
      <c r="R169" s="4" t="n">
        <f aca="false">IF(F169="Below 20,000",10000,IF(F169="20,000-40,000",30000,IF(F169="40,000-60,000",50000,IF(F169="60,000-80,000",70000,IF(F169="Above 80,000",100000,0)))))</f>
        <v>50000</v>
      </c>
      <c r="S169" s="4" t="n">
        <f aca="false">IF(G169="Yes",1,0)</f>
        <v>1</v>
      </c>
    </row>
    <row r="170" customFormat="false" ht="15" hidden="false" customHeight="true" outlineLevel="0" collapsed="false">
      <c r="A170" s="3" t="str">
        <f aca="false">Raw_Data!A170</f>
        <v>R169</v>
      </c>
      <c r="B170" s="3" t="n">
        <f aca="false">Raw_Data!B170</f>
        <v>24</v>
      </c>
      <c r="C170" s="3" t="str">
        <f aca="false">Raw_Data!C170</f>
        <v>Male</v>
      </c>
      <c r="D170" s="3" t="str">
        <f aca="false">Raw_Data!D170</f>
        <v>Pune</v>
      </c>
      <c r="E170" s="3" t="str">
        <f aca="false">Raw_Data!E170</f>
        <v>Freelancer</v>
      </c>
      <c r="F170" s="3" t="str">
        <f aca="false">Raw_Data!F170</f>
        <v>Above 80,000</v>
      </c>
      <c r="G170" s="3" t="str">
        <f aca="false">Raw_Data!G170</f>
        <v>Yes</v>
      </c>
      <c r="H170" s="3" t="str">
        <f aca="false">Raw_Data!H170</f>
        <v>Zerodha</v>
      </c>
      <c r="I170" s="3" t="str">
        <f aca="false">Raw_Data!I170</f>
        <v>Weekly</v>
      </c>
      <c r="J170" s="3" t="n">
        <f aca="false">Raw_Data!J170</f>
        <v>19724</v>
      </c>
      <c r="K170" s="3" t="str">
        <f aca="false">Raw_Data!K170</f>
        <v>Investment</v>
      </c>
      <c r="L170" s="3" t="n">
        <f aca="false">Raw_Data!L170</f>
        <v>5</v>
      </c>
      <c r="M170" s="3" t="str">
        <f aca="false">Raw_Data!M170</f>
        <v>High</v>
      </c>
      <c r="N170" s="3" t="str">
        <f aca="false">Raw_Data!N170</f>
        <v>Digital Gold</v>
      </c>
      <c r="O170" s="3" t="n">
        <f aca="false">Raw_Data!O170</f>
        <v>1</v>
      </c>
      <c r="P170" s="3" t="n">
        <f aca="false">Raw_Data!P170</f>
        <v>5</v>
      </c>
      <c r="Q170" s="3" t="str">
        <f aca="false">IF(OR(B170="",B170=0),"Unknown",IF(B170&lt;=25,"18-25",IF(B170&lt;=35,"26-35",IF(B170&lt;=45,"36-45","46+"))))</f>
        <v>18-25</v>
      </c>
      <c r="R170" s="3" t="n">
        <f aca="false">IF(F170="Below 20,000",10000,IF(F170="20,000-40,000",30000,IF(F170="40,000-60,000",50000,IF(F170="60,000-80,000",70000,IF(F170="Above 80,000",100000,0)))))</f>
        <v>100000</v>
      </c>
      <c r="S170" s="3" t="n">
        <f aca="false">IF(G170="Yes",1,0)</f>
        <v>1</v>
      </c>
    </row>
    <row r="171" customFormat="false" ht="15" hidden="false" customHeight="true" outlineLevel="0" collapsed="false">
      <c r="A171" s="4" t="str">
        <f aca="false">Raw_Data!A171</f>
        <v>R170</v>
      </c>
      <c r="B171" s="4" t="n">
        <f aca="false">Raw_Data!B171</f>
        <v>51</v>
      </c>
      <c r="C171" s="4" t="str">
        <f aca="false">Raw_Data!C171</f>
        <v>Female</v>
      </c>
      <c r="D171" s="4" t="str">
        <f aca="false">Raw_Data!D171</f>
        <v>Delhi</v>
      </c>
      <c r="E171" s="4" t="str">
        <f aca="false">Raw_Data!E171</f>
        <v>Business</v>
      </c>
      <c r="F171" s="4" t="str">
        <f aca="false">Raw_Data!F171</f>
        <v>60,000-80,000</v>
      </c>
      <c r="G171" s="4" t="str">
        <f aca="false">Raw_Data!G171</f>
        <v>Yes</v>
      </c>
      <c r="H171" s="4" t="str">
        <f aca="false">Raw_Data!H171</f>
        <v>Others</v>
      </c>
      <c r="I171" s="4" t="str">
        <f aca="false">Raw_Data!I171</f>
        <v>Quarterly</v>
      </c>
      <c r="J171" s="4" t="n">
        <f aca="false">Raw_Data!J171</f>
        <v>9246</v>
      </c>
      <c r="K171" s="4" t="str">
        <f aca="false">Raw_Data!K171</f>
        <v>Gifting</v>
      </c>
      <c r="L171" s="4" t="n">
        <f aca="false">Raw_Data!L171</f>
        <v>5</v>
      </c>
      <c r="M171" s="4" t="str">
        <f aca="false">Raw_Data!M171</f>
        <v>High</v>
      </c>
      <c r="N171" s="4" t="str">
        <f aca="false">Raw_Data!N171</f>
        <v>Digital Gold</v>
      </c>
      <c r="O171" s="4" t="n">
        <f aca="false">Raw_Data!O171</f>
        <v>5</v>
      </c>
      <c r="P171" s="4" t="n">
        <f aca="false">Raw_Data!P171</f>
        <v>2</v>
      </c>
      <c r="Q171" s="4" t="str">
        <f aca="false">IF(OR(B171="",B171=0),"Unknown",IF(B171&lt;=25,"18-25",IF(B171&lt;=35,"26-35",IF(B171&lt;=45,"36-45","46+"))))</f>
        <v>46+</v>
      </c>
      <c r="R171" s="4" t="n">
        <f aca="false">IF(F171="Below 20,000",10000,IF(F171="20,000-40,000",30000,IF(F171="40,000-60,000",50000,IF(F171="60,000-80,000",70000,IF(F171="Above 80,000",100000,0)))))</f>
        <v>70000</v>
      </c>
      <c r="S171" s="4" t="n">
        <f aca="false">IF(G171="Yes",1,0)</f>
        <v>1</v>
      </c>
    </row>
    <row r="172" customFormat="false" ht="15" hidden="false" customHeight="true" outlineLevel="0" collapsed="false">
      <c r="A172" s="3" t="str">
        <f aca="false">Raw_Data!A172</f>
        <v>R171</v>
      </c>
      <c r="B172" s="3" t="n">
        <f aca="false">Raw_Data!B172</f>
        <v>39</v>
      </c>
      <c r="C172" s="3" t="str">
        <f aca="false">Raw_Data!C172</f>
        <v>Female</v>
      </c>
      <c r="D172" s="3" t="str">
        <f aca="false">Raw_Data!D172</f>
        <v>Bangalore</v>
      </c>
      <c r="E172" s="3" t="str">
        <f aca="false">Raw_Data!E172</f>
        <v>Student</v>
      </c>
      <c r="F172" s="3" t="str">
        <f aca="false">Raw_Data!F172</f>
        <v>20,000-40,000</v>
      </c>
      <c r="G172" s="3" t="str">
        <f aca="false">Raw_Data!G172</f>
        <v>Yes</v>
      </c>
      <c r="H172" s="3" t="str">
        <f aca="false">Raw_Data!H172</f>
        <v>Paytm</v>
      </c>
      <c r="I172" s="3" t="str">
        <f aca="false">Raw_Data!I172</f>
        <v>Daily</v>
      </c>
      <c r="J172" s="3" t="n">
        <f aca="false">Raw_Data!J172</f>
        <v>2840</v>
      </c>
      <c r="K172" s="3" t="str">
        <f aca="false">Raw_Data!K172</f>
        <v>Investment</v>
      </c>
      <c r="L172" s="3" t="n">
        <f aca="false">Raw_Data!L172</f>
        <v>5</v>
      </c>
      <c r="M172" s="3" t="str">
        <f aca="false">Raw_Data!M172</f>
        <v>High</v>
      </c>
      <c r="N172" s="3" t="str">
        <f aca="false">Raw_Data!N172</f>
        <v>Physical Gold</v>
      </c>
      <c r="O172" s="3" t="n">
        <f aca="false">Raw_Data!O172</f>
        <v>3</v>
      </c>
      <c r="P172" s="3" t="n">
        <f aca="false">Raw_Data!P172</f>
        <v>6</v>
      </c>
      <c r="Q172" s="3" t="str">
        <f aca="false">IF(OR(B172="",B172=0),"Unknown",IF(B172&lt;=25,"18-25",IF(B172&lt;=35,"26-35",IF(B172&lt;=45,"36-45","46+"))))</f>
        <v>36-45</v>
      </c>
      <c r="R172" s="3" t="n">
        <f aca="false">IF(F172="Below 20,000",10000,IF(F172="20,000-40,000",30000,IF(F172="40,000-60,000",50000,IF(F172="60,000-80,000",70000,IF(F172="Above 80,000",100000,0)))))</f>
        <v>30000</v>
      </c>
      <c r="S172" s="3" t="n">
        <f aca="false">IF(G172="Yes",1,0)</f>
        <v>1</v>
      </c>
    </row>
    <row r="173" customFormat="false" ht="15" hidden="false" customHeight="true" outlineLevel="0" collapsed="false">
      <c r="A173" s="4" t="str">
        <f aca="false">Raw_Data!A173</f>
        <v>R172</v>
      </c>
      <c r="B173" s="4" t="n">
        <f aca="false">Raw_Data!B173</f>
        <v>18</v>
      </c>
      <c r="C173" s="4" t="str">
        <f aca="false">Raw_Data!C173</f>
        <v>Female</v>
      </c>
      <c r="D173" s="4" t="str">
        <f aca="false">Raw_Data!D173</f>
        <v>Ahmedabad</v>
      </c>
      <c r="E173" s="4" t="str">
        <f aca="false">Raw_Data!E173</f>
        <v>Student</v>
      </c>
      <c r="F173" s="4" t="str">
        <f aca="false">Raw_Data!F173</f>
        <v>Above 80,000</v>
      </c>
      <c r="G173" s="4" t="str">
        <f aca="false">Raw_Data!G173</f>
        <v>Yes</v>
      </c>
      <c r="H173" s="4" t="str">
        <f aca="false">Raw_Data!H173</f>
        <v>Groww</v>
      </c>
      <c r="I173" s="4" t="str">
        <f aca="false">Raw_Data!I173</f>
        <v>Quarterly</v>
      </c>
      <c r="J173" s="4" t="n">
        <f aca="false">Raw_Data!J173</f>
        <v>17164</v>
      </c>
      <c r="K173" s="4" t="str">
        <f aca="false">Raw_Data!K173</f>
        <v>Savings</v>
      </c>
      <c r="L173" s="4" t="n">
        <f aca="false">Raw_Data!L173</f>
        <v>1</v>
      </c>
      <c r="M173" s="4" t="str">
        <f aca="false">Raw_Data!M173</f>
        <v>Medium</v>
      </c>
      <c r="N173" s="4" t="str">
        <f aca="false">Raw_Data!N173</f>
        <v>Fixed Deposit</v>
      </c>
      <c r="O173" s="4" t="n">
        <f aca="false">Raw_Data!O173</f>
        <v>1</v>
      </c>
      <c r="P173" s="4" t="n">
        <f aca="false">Raw_Data!P173</f>
        <v>2</v>
      </c>
      <c r="Q173" s="4" t="str">
        <f aca="false">IF(OR(B173="",B173=0),"Unknown",IF(B173&lt;=25,"18-25",IF(B173&lt;=35,"26-35",IF(B173&lt;=45,"36-45","46+"))))</f>
        <v>18-25</v>
      </c>
      <c r="R173" s="4" t="n">
        <f aca="false">IF(F173="Below 20,000",10000,IF(F173="20,000-40,000",30000,IF(F173="40,000-60,000",50000,IF(F173="60,000-80,000",70000,IF(F173="Above 80,000",100000,0)))))</f>
        <v>100000</v>
      </c>
      <c r="S173" s="4" t="n">
        <f aca="false">IF(G173="Yes",1,0)</f>
        <v>1</v>
      </c>
    </row>
    <row r="174" customFormat="false" ht="15" hidden="false" customHeight="true" outlineLevel="0" collapsed="false">
      <c r="A174" s="3" t="str">
        <f aca="false">Raw_Data!A174</f>
        <v>R173</v>
      </c>
      <c r="B174" s="3" t="n">
        <f aca="false">Raw_Data!B174</f>
        <v>46</v>
      </c>
      <c r="C174" s="3" t="str">
        <f aca="false">Raw_Data!C174</f>
        <v>Male</v>
      </c>
      <c r="D174" s="3" t="str">
        <f aca="false">Raw_Data!D174</f>
        <v>Pune</v>
      </c>
      <c r="E174" s="3" t="str">
        <f aca="false">Raw_Data!E174</f>
        <v>Government Employee</v>
      </c>
      <c r="F174" s="3" t="str">
        <f aca="false">Raw_Data!F174</f>
        <v>Above 80,000</v>
      </c>
      <c r="G174" s="3" t="str">
        <f aca="false">Raw_Data!G174</f>
        <v>Yes</v>
      </c>
      <c r="H174" s="3" t="str">
        <f aca="false">Raw_Data!H174</f>
        <v>Zerodha</v>
      </c>
      <c r="I174" s="3" t="str">
        <f aca="false">Raw_Data!I174</f>
        <v>Rarely</v>
      </c>
      <c r="J174" s="3" t="n">
        <f aca="false">Raw_Data!J174</f>
        <v>6256</v>
      </c>
      <c r="K174" s="3" t="str">
        <f aca="false">Raw_Data!K174</f>
        <v>Savings</v>
      </c>
      <c r="L174" s="3" t="n">
        <f aca="false">Raw_Data!L174</f>
        <v>3</v>
      </c>
      <c r="M174" s="3" t="str">
        <f aca="false">Raw_Data!M174</f>
        <v>High</v>
      </c>
      <c r="N174" s="3" t="str">
        <f aca="false">Raw_Data!N174</f>
        <v>Digital Gold</v>
      </c>
      <c r="O174" s="3" t="n">
        <f aca="false">Raw_Data!O174</f>
        <v>2</v>
      </c>
      <c r="P174" s="3" t="n">
        <f aca="false">Raw_Data!P174</f>
        <v>5</v>
      </c>
      <c r="Q174" s="3" t="str">
        <f aca="false">IF(OR(B174="",B174=0),"Unknown",IF(B174&lt;=25,"18-25",IF(B174&lt;=35,"26-35",IF(B174&lt;=45,"36-45","46+"))))</f>
        <v>46+</v>
      </c>
      <c r="R174" s="3" t="n">
        <f aca="false">IF(F174="Below 20,000",10000,IF(F174="20,000-40,000",30000,IF(F174="40,000-60,000",50000,IF(F174="60,000-80,000",70000,IF(F174="Above 80,000",100000,0)))))</f>
        <v>100000</v>
      </c>
      <c r="S174" s="3" t="n">
        <f aca="false">IF(G174="Yes",1,0)</f>
        <v>1</v>
      </c>
    </row>
    <row r="175" customFormat="false" ht="15" hidden="false" customHeight="true" outlineLevel="0" collapsed="false">
      <c r="A175" s="4" t="str">
        <f aca="false">Raw_Data!A175</f>
        <v>R174</v>
      </c>
      <c r="B175" s="4" t="n">
        <f aca="false">Raw_Data!B175</f>
        <v>50</v>
      </c>
      <c r="C175" s="4" t="str">
        <f aca="false">Raw_Data!C175</f>
        <v>Female</v>
      </c>
      <c r="D175" s="4" t="str">
        <f aca="false">Raw_Data!D175</f>
        <v>Lucknow</v>
      </c>
      <c r="E175" s="4" t="str">
        <f aca="false">Raw_Data!E175</f>
        <v>Government Employee</v>
      </c>
      <c r="F175" s="4" t="str">
        <f aca="false">Raw_Data!F175</f>
        <v>Below 20,000</v>
      </c>
      <c r="G175" s="4" t="str">
        <f aca="false">Raw_Data!G175</f>
        <v>Yes</v>
      </c>
      <c r="H175" s="4" t="str">
        <f aca="false">Raw_Data!H175</f>
        <v>Zerodha</v>
      </c>
      <c r="I175" s="4" t="str">
        <f aca="false">Raw_Data!I175</f>
        <v>Rarely</v>
      </c>
      <c r="J175" s="4" t="n">
        <f aca="false">Raw_Data!J175</f>
        <v>388</v>
      </c>
      <c r="K175" s="4" t="str">
        <f aca="false">Raw_Data!K175</f>
        <v>Investment</v>
      </c>
      <c r="L175" s="4" t="n">
        <f aca="false">Raw_Data!L175</f>
        <v>4</v>
      </c>
      <c r="M175" s="4" t="str">
        <f aca="false">Raw_Data!M175</f>
        <v>Medium</v>
      </c>
      <c r="N175" s="4" t="str">
        <f aca="false">Raw_Data!N175</f>
        <v>Fixed Deposit</v>
      </c>
      <c r="O175" s="4" t="n">
        <f aca="false">Raw_Data!O175</f>
        <v>1</v>
      </c>
      <c r="P175" s="4" t="n">
        <f aca="false">Raw_Data!P175</f>
        <v>3</v>
      </c>
      <c r="Q175" s="4" t="str">
        <f aca="false">IF(OR(B175="",B175=0),"Unknown",IF(B175&lt;=25,"18-25",IF(B175&lt;=35,"26-35",IF(B175&lt;=45,"36-45","46+"))))</f>
        <v>46+</v>
      </c>
      <c r="R175" s="4" t="n">
        <f aca="false">IF(F175="Below 20,000",10000,IF(F175="20,000-40,000",30000,IF(F175="40,000-60,000",50000,IF(F175="60,000-80,000",70000,IF(F175="Above 80,000",100000,0)))))</f>
        <v>10000</v>
      </c>
      <c r="S175" s="4" t="n">
        <f aca="false">IF(G175="Yes",1,0)</f>
        <v>1</v>
      </c>
    </row>
    <row r="176" customFormat="false" ht="15" hidden="false" customHeight="true" outlineLevel="0" collapsed="false">
      <c r="A176" s="3" t="str">
        <f aca="false">Raw_Data!A176</f>
        <v>R175</v>
      </c>
      <c r="B176" s="3" t="n">
        <f aca="false">Raw_Data!B176</f>
        <v>36</v>
      </c>
      <c r="C176" s="3" t="str">
        <f aca="false">Raw_Data!C176</f>
        <v>Male</v>
      </c>
      <c r="D176" s="3" t="str">
        <f aca="false">Raw_Data!D176</f>
        <v>Lucknow</v>
      </c>
      <c r="E176" s="3" t="str">
        <f aca="false">Raw_Data!E176</f>
        <v>Government Employee</v>
      </c>
      <c r="F176" s="3" t="str">
        <f aca="false">Raw_Data!F176</f>
        <v>20,000-40,000</v>
      </c>
      <c r="G176" s="3" t="str">
        <f aca="false">Raw_Data!G176</f>
        <v>Yes</v>
      </c>
      <c r="H176" s="3" t="str">
        <f aca="false">Raw_Data!H176</f>
        <v>Groww</v>
      </c>
      <c r="I176" s="3" t="str">
        <f aca="false">Raw_Data!I176</f>
        <v>Weekly</v>
      </c>
      <c r="J176" s="3" t="n">
        <f aca="false">Raw_Data!J176</f>
        <v>3568</v>
      </c>
      <c r="K176" s="3" t="str">
        <f aca="false">Raw_Data!K176</f>
        <v>Investment</v>
      </c>
      <c r="L176" s="3" t="n">
        <f aca="false">Raw_Data!L176</f>
        <v>3</v>
      </c>
      <c r="M176" s="3" t="str">
        <f aca="false">Raw_Data!M176</f>
        <v>Low</v>
      </c>
      <c r="N176" s="3" t="str">
        <f aca="false">Raw_Data!N176</f>
        <v>Digital Gold</v>
      </c>
      <c r="O176" s="3" t="n">
        <f aca="false">Raw_Data!O176</f>
        <v>1</v>
      </c>
      <c r="P176" s="3" t="n">
        <f aca="false">Raw_Data!P176</f>
        <v>2</v>
      </c>
      <c r="Q176" s="3" t="str">
        <f aca="false">IF(OR(B176="",B176=0),"Unknown",IF(B176&lt;=25,"18-25",IF(B176&lt;=35,"26-35",IF(B176&lt;=45,"36-45","46+"))))</f>
        <v>36-45</v>
      </c>
      <c r="R176" s="3" t="n">
        <f aca="false">IF(F176="Below 20,000",10000,IF(F176="20,000-40,000",30000,IF(F176="40,000-60,000",50000,IF(F176="60,000-80,000",70000,IF(F176="Above 80,000",100000,0)))))</f>
        <v>30000</v>
      </c>
      <c r="S176" s="3" t="n">
        <f aca="false">IF(G176="Yes",1,0)</f>
        <v>1</v>
      </c>
    </row>
    <row r="177" customFormat="false" ht="15" hidden="false" customHeight="true" outlineLevel="0" collapsed="false">
      <c r="A177" s="4" t="str">
        <f aca="false">Raw_Data!A177</f>
        <v>R176</v>
      </c>
      <c r="B177" s="4" t="n">
        <f aca="false">Raw_Data!B177</f>
        <v>60</v>
      </c>
      <c r="C177" s="4" t="str">
        <f aca="false">Raw_Data!C177</f>
        <v>Female</v>
      </c>
      <c r="D177" s="4" t="str">
        <f aca="false">Raw_Data!D177</f>
        <v>Hyderabad</v>
      </c>
      <c r="E177" s="4" t="str">
        <f aca="false">Raw_Data!E177</f>
        <v>Homemaker</v>
      </c>
      <c r="F177" s="4" t="n">
        <f aca="false">Raw_Data!F177</f>
        <v>0</v>
      </c>
      <c r="G177" s="4" t="str">
        <f aca="false">Raw_Data!G177</f>
        <v>No</v>
      </c>
      <c r="H177" s="4" t="n">
        <f aca="false">Raw_Data!H177</f>
        <v>0</v>
      </c>
      <c r="I177" s="4" t="n">
        <f aca="false">Raw_Data!I177</f>
        <v>0</v>
      </c>
      <c r="J177" s="4" t="n">
        <f aca="false">Raw_Data!J177</f>
        <v>0</v>
      </c>
      <c r="K177" s="4" t="n">
        <f aca="false">Raw_Data!K177</f>
        <v>0</v>
      </c>
      <c r="L177" s="4" t="n">
        <f aca="false">Raw_Data!L177</f>
        <v>1</v>
      </c>
      <c r="M177" s="4" t="str">
        <f aca="false">Raw_Data!M177</f>
        <v>High</v>
      </c>
      <c r="N177" s="4" t="str">
        <f aca="false">Raw_Data!N177</f>
        <v>Fixed Deposit</v>
      </c>
      <c r="O177" s="4" t="n">
        <f aca="false">Raw_Data!O177</f>
        <v>3</v>
      </c>
      <c r="P177" s="4" t="n">
        <f aca="false">Raw_Data!P177</f>
        <v>1</v>
      </c>
      <c r="Q177" s="4" t="str">
        <f aca="false">IF(OR(B177="",B177=0),"Unknown",IF(B177&lt;=25,"18-25",IF(B177&lt;=35,"26-35",IF(B177&lt;=45,"36-45","46+"))))</f>
        <v>46+</v>
      </c>
      <c r="R177" s="4" t="n">
        <f aca="false">IF(F177="Below 20,000",10000,IF(F177="20,000-40,000",30000,IF(F177="40,000-60,000",50000,IF(F177="60,000-80,000",70000,IF(F177="Above 80,000",100000,0)))))</f>
        <v>0</v>
      </c>
      <c r="S177" s="4" t="n">
        <f aca="false">IF(G177="Yes",1,0)</f>
        <v>0</v>
      </c>
    </row>
    <row r="178" customFormat="false" ht="15" hidden="false" customHeight="true" outlineLevel="0" collapsed="false">
      <c r="A178" s="3" t="str">
        <f aca="false">Raw_Data!A178</f>
        <v>R177</v>
      </c>
      <c r="B178" s="3" t="n">
        <f aca="false">Raw_Data!B178</f>
        <v>30</v>
      </c>
      <c r="C178" s="3" t="str">
        <f aca="false">Raw_Data!C178</f>
        <v>Male</v>
      </c>
      <c r="D178" s="3" t="str">
        <f aca="false">Raw_Data!D178</f>
        <v>Kolkata</v>
      </c>
      <c r="E178" s="3" t="str">
        <f aca="false">Raw_Data!E178</f>
        <v>Business</v>
      </c>
      <c r="F178" s="3" t="str">
        <f aca="false">Raw_Data!F178</f>
        <v>Below 20,000</v>
      </c>
      <c r="G178" s="3" t="str">
        <f aca="false">Raw_Data!G178</f>
        <v>Yes</v>
      </c>
      <c r="H178" s="3" t="str">
        <f aca="false">Raw_Data!H178</f>
        <v>Others</v>
      </c>
      <c r="I178" s="3" t="str">
        <f aca="false">Raw_Data!I178</f>
        <v>Daily</v>
      </c>
      <c r="J178" s="3" t="n">
        <f aca="false">Raw_Data!J178</f>
        <v>841</v>
      </c>
      <c r="K178" s="3" t="str">
        <f aca="false">Raw_Data!K178</f>
        <v>Savings</v>
      </c>
      <c r="L178" s="3" t="n">
        <f aca="false">Raw_Data!L178</f>
        <v>1</v>
      </c>
      <c r="M178" s="3" t="str">
        <f aca="false">Raw_Data!M178</f>
        <v>High</v>
      </c>
      <c r="N178" s="3" t="str">
        <f aca="false">Raw_Data!N178</f>
        <v>Digital Gold</v>
      </c>
      <c r="O178" s="3" t="n">
        <f aca="false">Raw_Data!O178</f>
        <v>4</v>
      </c>
      <c r="P178" s="3" t="n">
        <f aca="false">Raw_Data!P178</f>
        <v>4</v>
      </c>
      <c r="Q178" s="3" t="str">
        <f aca="false">IF(OR(B178="",B178=0),"Unknown",IF(B178&lt;=25,"18-25",IF(B178&lt;=35,"26-35",IF(B178&lt;=45,"36-45","46+"))))</f>
        <v>26-35</v>
      </c>
      <c r="R178" s="3" t="n">
        <f aca="false">IF(F178="Below 20,000",10000,IF(F178="20,000-40,000",30000,IF(F178="40,000-60,000",50000,IF(F178="60,000-80,000",70000,IF(F178="Above 80,000",100000,0)))))</f>
        <v>10000</v>
      </c>
      <c r="S178" s="3" t="n">
        <f aca="false">IF(G178="Yes",1,0)</f>
        <v>1</v>
      </c>
    </row>
    <row r="179" customFormat="false" ht="15" hidden="false" customHeight="true" outlineLevel="0" collapsed="false">
      <c r="A179" s="4" t="str">
        <f aca="false">Raw_Data!A179</f>
        <v>R178</v>
      </c>
      <c r="B179" s="4" t="n">
        <f aca="false">Raw_Data!B179</f>
        <v>38</v>
      </c>
      <c r="C179" s="4" t="str">
        <f aca="false">Raw_Data!C179</f>
        <v>Female</v>
      </c>
      <c r="D179" s="4" t="str">
        <f aca="false">Raw_Data!D179</f>
        <v>Hyderabad</v>
      </c>
      <c r="E179" s="4" t="str">
        <f aca="false">Raw_Data!E179</f>
        <v>Salaried</v>
      </c>
      <c r="F179" s="4" t="str">
        <f aca="false">Raw_Data!F179</f>
        <v>60,000-80,000</v>
      </c>
      <c r="G179" s="4" t="str">
        <f aca="false">Raw_Data!G179</f>
        <v>Yes</v>
      </c>
      <c r="H179" s="4" t="str">
        <f aca="false">Raw_Data!H179</f>
        <v>Paytm</v>
      </c>
      <c r="I179" s="4" t="str">
        <f aca="false">Raw_Data!I179</f>
        <v>Rarely</v>
      </c>
      <c r="J179" s="4" t="n">
        <f aca="false">Raw_Data!J179</f>
        <v>14762</v>
      </c>
      <c r="K179" s="4" t="str">
        <f aca="false">Raw_Data!K179</f>
        <v>Gifting</v>
      </c>
      <c r="L179" s="4" t="n">
        <f aca="false">Raw_Data!L179</f>
        <v>2</v>
      </c>
      <c r="M179" s="4" t="str">
        <f aca="false">Raw_Data!M179</f>
        <v>High</v>
      </c>
      <c r="N179" s="4" t="str">
        <f aca="false">Raw_Data!N179</f>
        <v>Fixed Deposit</v>
      </c>
      <c r="O179" s="4" t="n">
        <f aca="false">Raw_Data!O179</f>
        <v>4</v>
      </c>
      <c r="P179" s="4" t="n">
        <f aca="false">Raw_Data!P179</f>
        <v>8</v>
      </c>
      <c r="Q179" s="4" t="str">
        <f aca="false">IF(OR(B179="",B179=0),"Unknown",IF(B179&lt;=25,"18-25",IF(B179&lt;=35,"26-35",IF(B179&lt;=45,"36-45","46+"))))</f>
        <v>36-45</v>
      </c>
      <c r="R179" s="4" t="n">
        <f aca="false">IF(F179="Below 20,000",10000,IF(F179="20,000-40,000",30000,IF(F179="40,000-60,000",50000,IF(F179="60,000-80,000",70000,IF(F179="Above 80,000",100000,0)))))</f>
        <v>70000</v>
      </c>
      <c r="S179" s="4" t="n">
        <f aca="false">IF(G179="Yes",1,0)</f>
        <v>1</v>
      </c>
    </row>
    <row r="180" customFormat="false" ht="15" hidden="false" customHeight="true" outlineLevel="0" collapsed="false">
      <c r="A180" s="3" t="str">
        <f aca="false">Raw_Data!A180</f>
        <v>R179</v>
      </c>
      <c r="B180" s="3" t="n">
        <f aca="false">Raw_Data!B180</f>
        <v>0</v>
      </c>
      <c r="C180" s="3" t="str">
        <f aca="false">Raw_Data!C180</f>
        <v>Male</v>
      </c>
      <c r="D180" s="3" t="str">
        <f aca="false">Raw_Data!D180</f>
        <v>Kolkata</v>
      </c>
      <c r="E180" s="3" t="str">
        <f aca="false">Raw_Data!E180</f>
        <v>Homemaker</v>
      </c>
      <c r="F180" s="3" t="str">
        <f aca="false">Raw_Data!F180</f>
        <v>20,000-40,000</v>
      </c>
      <c r="G180" s="3" t="str">
        <f aca="false">Raw_Data!G180</f>
        <v>No</v>
      </c>
      <c r="H180" s="3" t="n">
        <f aca="false">Raw_Data!H180</f>
        <v>0</v>
      </c>
      <c r="I180" s="3" t="n">
        <f aca="false">Raw_Data!I180</f>
        <v>0</v>
      </c>
      <c r="J180" s="3" t="n">
        <f aca="false">Raw_Data!J180</f>
        <v>0</v>
      </c>
      <c r="K180" s="3" t="n">
        <f aca="false">Raw_Data!K180</f>
        <v>0</v>
      </c>
      <c r="L180" s="3" t="n">
        <f aca="false">Raw_Data!L180</f>
        <v>1</v>
      </c>
      <c r="M180" s="3" t="str">
        <f aca="false">Raw_Data!M180</f>
        <v>Low</v>
      </c>
      <c r="N180" s="3" t="str">
        <f aca="false">Raw_Data!N180</f>
        <v>Digital Gold</v>
      </c>
      <c r="O180" s="3" t="n">
        <f aca="false">Raw_Data!O180</f>
        <v>2</v>
      </c>
      <c r="P180" s="3" t="n">
        <f aca="false">Raw_Data!P180</f>
        <v>4</v>
      </c>
      <c r="Q180" s="3" t="str">
        <f aca="false">IF(OR(B180="",B180=0),"Unknown",IF(B180&lt;=25,"18-25",IF(B180&lt;=35,"26-35",IF(B180&lt;=45,"36-45","46+"))))</f>
        <v>Unknown</v>
      </c>
      <c r="R180" s="3" t="n">
        <f aca="false">IF(F180="Below 20,000",10000,IF(F180="20,000-40,000",30000,IF(F180="40,000-60,000",50000,IF(F180="60,000-80,000",70000,IF(F180="Above 80,000",100000,0)))))</f>
        <v>30000</v>
      </c>
      <c r="S180" s="3" t="n">
        <f aca="false">IF(G180="Yes",1,0)</f>
        <v>0</v>
      </c>
    </row>
    <row r="181" customFormat="false" ht="15" hidden="false" customHeight="true" outlineLevel="0" collapsed="false">
      <c r="A181" s="4" t="str">
        <f aca="false">Raw_Data!A181</f>
        <v>R180</v>
      </c>
      <c r="B181" s="4" t="n">
        <f aca="false">Raw_Data!B181</f>
        <v>55</v>
      </c>
      <c r="C181" s="4" t="str">
        <f aca="false">Raw_Data!C181</f>
        <v>Male</v>
      </c>
      <c r="D181" s="4" t="str">
        <f aca="false">Raw_Data!D181</f>
        <v>Pune</v>
      </c>
      <c r="E181" s="4" t="str">
        <f aca="false">Raw_Data!E181</f>
        <v>Salaried</v>
      </c>
      <c r="F181" s="4" t="str">
        <f aca="false">Raw_Data!F181</f>
        <v>Below 20,000</v>
      </c>
      <c r="G181" s="4" t="str">
        <f aca="false">Raw_Data!G181</f>
        <v>Yes</v>
      </c>
      <c r="H181" s="4" t="str">
        <f aca="false">Raw_Data!H181</f>
        <v>Others</v>
      </c>
      <c r="I181" s="4" t="str">
        <f aca="false">Raw_Data!I181</f>
        <v>Quarterly</v>
      </c>
      <c r="J181" s="4" t="n">
        <f aca="false">Raw_Data!J181</f>
        <v>882</v>
      </c>
      <c r="K181" s="4" t="str">
        <f aca="false">Raw_Data!K181</f>
        <v>Savings</v>
      </c>
      <c r="L181" s="4" t="n">
        <f aca="false">Raw_Data!L181</f>
        <v>3</v>
      </c>
      <c r="M181" s="4" t="str">
        <f aca="false">Raw_Data!M181</f>
        <v>High</v>
      </c>
      <c r="N181" s="4" t="str">
        <f aca="false">Raw_Data!N181</f>
        <v>Digital Gold</v>
      </c>
      <c r="O181" s="4" t="n">
        <f aca="false">Raw_Data!O181</f>
        <v>1</v>
      </c>
      <c r="P181" s="4" t="n">
        <f aca="false">Raw_Data!P181</f>
        <v>3</v>
      </c>
      <c r="Q181" s="4" t="str">
        <f aca="false">IF(OR(B181="",B181=0),"Unknown",IF(B181&lt;=25,"18-25",IF(B181&lt;=35,"26-35",IF(B181&lt;=45,"36-45","46+"))))</f>
        <v>46+</v>
      </c>
      <c r="R181" s="4" t="n">
        <f aca="false">IF(F181="Below 20,000",10000,IF(F181="20,000-40,000",30000,IF(F181="40,000-60,000",50000,IF(F181="60,000-80,000",70000,IF(F181="Above 80,000",100000,0)))))</f>
        <v>10000</v>
      </c>
      <c r="S181" s="4" t="n">
        <f aca="false">IF(G181="Yes",1,0)</f>
        <v>1</v>
      </c>
    </row>
    <row r="182" customFormat="false" ht="15" hidden="false" customHeight="true" outlineLevel="0" collapsed="false">
      <c r="A182" s="3" t="str">
        <f aca="false">Raw_Data!A182</f>
        <v>R181</v>
      </c>
      <c r="B182" s="3" t="n">
        <f aca="false">Raw_Data!B182</f>
        <v>41</v>
      </c>
      <c r="C182" s="3" t="str">
        <f aca="false">Raw_Data!C182</f>
        <v>Female</v>
      </c>
      <c r="D182" s="3" t="str">
        <f aca="false">Raw_Data!D182</f>
        <v>Hyderabad</v>
      </c>
      <c r="E182" s="3" t="str">
        <f aca="false">Raw_Data!E182</f>
        <v>Freelancer</v>
      </c>
      <c r="F182" s="3" t="str">
        <f aca="false">Raw_Data!F182</f>
        <v>Above 80,000</v>
      </c>
      <c r="G182" s="3" t="str">
        <f aca="false">Raw_Data!G182</f>
        <v>No</v>
      </c>
      <c r="H182" s="3" t="n">
        <f aca="false">Raw_Data!H182</f>
        <v>0</v>
      </c>
      <c r="I182" s="3" t="n">
        <f aca="false">Raw_Data!I182</f>
        <v>0</v>
      </c>
      <c r="J182" s="3" t="n">
        <f aca="false">Raw_Data!J182</f>
        <v>0</v>
      </c>
      <c r="K182" s="3" t="n">
        <f aca="false">Raw_Data!K182</f>
        <v>0</v>
      </c>
      <c r="L182" s="3" t="n">
        <f aca="false">Raw_Data!L182</f>
        <v>3</v>
      </c>
      <c r="M182" s="3" t="str">
        <f aca="false">Raw_Data!M182</f>
        <v>High</v>
      </c>
      <c r="N182" s="3" t="str">
        <f aca="false">Raw_Data!N182</f>
        <v>Digital Gold</v>
      </c>
      <c r="O182" s="3" t="n">
        <f aca="false">Raw_Data!O182</f>
        <v>3</v>
      </c>
      <c r="P182" s="3" t="n">
        <f aca="false">Raw_Data!P182</f>
        <v>2</v>
      </c>
      <c r="Q182" s="3" t="str">
        <f aca="false">IF(OR(B182="",B182=0),"Unknown",IF(B182&lt;=25,"18-25",IF(B182&lt;=35,"26-35",IF(B182&lt;=45,"36-45","46+"))))</f>
        <v>36-45</v>
      </c>
      <c r="R182" s="3" t="n">
        <f aca="false">IF(F182="Below 20,000",10000,IF(F182="20,000-40,000",30000,IF(F182="40,000-60,000",50000,IF(F182="60,000-80,000",70000,IF(F182="Above 80,000",100000,0)))))</f>
        <v>100000</v>
      </c>
      <c r="S182" s="3" t="n">
        <f aca="false">IF(G182="Yes",1,0)</f>
        <v>0</v>
      </c>
    </row>
    <row r="183" customFormat="false" ht="15" hidden="false" customHeight="true" outlineLevel="0" collapsed="false">
      <c r="A183" s="4" t="str">
        <f aca="false">Raw_Data!A183</f>
        <v>R182</v>
      </c>
      <c r="B183" s="4" t="n">
        <f aca="false">Raw_Data!B183</f>
        <v>32</v>
      </c>
      <c r="C183" s="4" t="str">
        <f aca="false">Raw_Data!C183</f>
        <v>Male</v>
      </c>
      <c r="D183" s="4" t="str">
        <f aca="false">Raw_Data!D183</f>
        <v>Mumbai</v>
      </c>
      <c r="E183" s="4" t="str">
        <f aca="false">Raw_Data!E183</f>
        <v>Student</v>
      </c>
      <c r="F183" s="4" t="str">
        <f aca="false">Raw_Data!F183</f>
        <v>Above 80,000</v>
      </c>
      <c r="G183" s="4" t="str">
        <f aca="false">Raw_Data!G183</f>
        <v>Yes</v>
      </c>
      <c r="H183" s="4" t="str">
        <f aca="false">Raw_Data!H183</f>
        <v>Zerodha</v>
      </c>
      <c r="I183" s="4" t="str">
        <f aca="false">Raw_Data!I183</f>
        <v>Quarterly</v>
      </c>
      <c r="J183" s="4" t="n">
        <f aca="false">Raw_Data!J183</f>
        <v>6022</v>
      </c>
      <c r="K183" s="4" t="str">
        <f aca="false">Raw_Data!K183</f>
        <v>Gifting</v>
      </c>
      <c r="L183" s="4" t="n">
        <f aca="false">Raw_Data!L183</f>
        <v>5</v>
      </c>
      <c r="M183" s="4" t="str">
        <f aca="false">Raw_Data!M183</f>
        <v>Low</v>
      </c>
      <c r="N183" s="4" t="str">
        <f aca="false">Raw_Data!N183</f>
        <v>Physical Gold</v>
      </c>
      <c r="O183" s="4" t="n">
        <f aca="false">Raw_Data!O183</f>
        <v>3</v>
      </c>
      <c r="P183" s="4" t="n">
        <f aca="false">Raw_Data!P183</f>
        <v>3</v>
      </c>
      <c r="Q183" s="4" t="str">
        <f aca="false">IF(OR(B183="",B183=0),"Unknown",IF(B183&lt;=25,"18-25",IF(B183&lt;=35,"26-35",IF(B183&lt;=45,"36-45","46+"))))</f>
        <v>26-35</v>
      </c>
      <c r="R183" s="4" t="n">
        <f aca="false">IF(F183="Below 20,000",10000,IF(F183="20,000-40,000",30000,IF(F183="40,000-60,000",50000,IF(F183="60,000-80,000",70000,IF(F183="Above 80,000",100000,0)))))</f>
        <v>100000</v>
      </c>
      <c r="S183" s="4" t="n">
        <f aca="false">IF(G183="Yes",1,0)</f>
        <v>1</v>
      </c>
    </row>
    <row r="184" customFormat="false" ht="15" hidden="false" customHeight="true" outlineLevel="0" collapsed="false">
      <c r="A184" s="3" t="str">
        <f aca="false">Raw_Data!A184</f>
        <v>R183</v>
      </c>
      <c r="B184" s="3" t="n">
        <f aca="false">Raw_Data!B184</f>
        <v>53</v>
      </c>
      <c r="C184" s="3" t="str">
        <f aca="false">Raw_Data!C184</f>
        <v>Female</v>
      </c>
      <c r="D184" s="3" t="str">
        <f aca="false">Raw_Data!D184</f>
        <v>Hyderabad</v>
      </c>
      <c r="E184" s="3" t="str">
        <f aca="false">Raw_Data!E184</f>
        <v>Student</v>
      </c>
      <c r="F184" s="3" t="str">
        <f aca="false">Raw_Data!F184</f>
        <v>Above 80,000</v>
      </c>
      <c r="G184" s="3" t="str">
        <f aca="false">Raw_Data!G184</f>
        <v>Yes</v>
      </c>
      <c r="H184" s="3" t="str">
        <f aca="false">Raw_Data!H184</f>
        <v>Groww</v>
      </c>
      <c r="I184" s="3" t="str">
        <f aca="false">Raw_Data!I184</f>
        <v>Quarterly</v>
      </c>
      <c r="J184" s="3" t="n">
        <f aca="false">Raw_Data!J184</f>
        <v>19619</v>
      </c>
      <c r="K184" s="3" t="str">
        <f aca="false">Raw_Data!K184</f>
        <v>Investment</v>
      </c>
      <c r="L184" s="3" t="n">
        <f aca="false">Raw_Data!L184</f>
        <v>4</v>
      </c>
      <c r="M184" s="3" t="str">
        <f aca="false">Raw_Data!M184</f>
        <v>Low</v>
      </c>
      <c r="N184" s="3" t="str">
        <f aca="false">Raw_Data!N184</f>
        <v>Digital Gold</v>
      </c>
      <c r="O184" s="3" t="n">
        <f aca="false">Raw_Data!O184</f>
        <v>5</v>
      </c>
      <c r="P184" s="3" t="n">
        <f aca="false">Raw_Data!P184</f>
        <v>1</v>
      </c>
      <c r="Q184" s="3" t="str">
        <f aca="false">IF(OR(B184="",B184=0),"Unknown",IF(B184&lt;=25,"18-25",IF(B184&lt;=35,"26-35",IF(B184&lt;=45,"36-45","46+"))))</f>
        <v>46+</v>
      </c>
      <c r="R184" s="3" t="n">
        <f aca="false">IF(F184="Below 20,000",10000,IF(F184="20,000-40,000",30000,IF(F184="40,000-60,000",50000,IF(F184="60,000-80,000",70000,IF(F184="Above 80,000",100000,0)))))</f>
        <v>100000</v>
      </c>
      <c r="S184" s="3" t="n">
        <f aca="false">IF(G184="Yes",1,0)</f>
        <v>1</v>
      </c>
    </row>
    <row r="185" customFormat="false" ht="15" hidden="false" customHeight="true" outlineLevel="0" collapsed="false">
      <c r="A185" s="4" t="str">
        <f aca="false">Raw_Data!A185</f>
        <v>R184</v>
      </c>
      <c r="B185" s="4" t="n">
        <f aca="false">Raw_Data!B185</f>
        <v>20</v>
      </c>
      <c r="C185" s="4" t="str">
        <f aca="false">Raw_Data!C185</f>
        <v>Female</v>
      </c>
      <c r="D185" s="4" t="str">
        <f aca="false">Raw_Data!D185</f>
        <v>Mumbai</v>
      </c>
      <c r="E185" s="4" t="str">
        <f aca="false">Raw_Data!E185</f>
        <v>Government Employee</v>
      </c>
      <c r="F185" s="4" t="str">
        <f aca="false">Raw_Data!F185</f>
        <v>20,000-40,000</v>
      </c>
      <c r="G185" s="4" t="str">
        <f aca="false">Raw_Data!G185</f>
        <v>Yes</v>
      </c>
      <c r="H185" s="4" t="str">
        <f aca="false">Raw_Data!H185</f>
        <v>Others</v>
      </c>
      <c r="I185" s="4" t="str">
        <f aca="false">Raw_Data!I185</f>
        <v>Daily</v>
      </c>
      <c r="J185" s="4" t="n">
        <f aca="false">Raw_Data!J185</f>
        <v>2884</v>
      </c>
      <c r="K185" s="4" t="str">
        <f aca="false">Raw_Data!K185</f>
        <v>Savings</v>
      </c>
      <c r="L185" s="4" t="n">
        <f aca="false">Raw_Data!L185</f>
        <v>4</v>
      </c>
      <c r="M185" s="4" t="str">
        <f aca="false">Raw_Data!M185</f>
        <v>Medium</v>
      </c>
      <c r="N185" s="4" t="str">
        <f aca="false">Raw_Data!N185</f>
        <v>Digital Gold</v>
      </c>
      <c r="O185" s="4" t="n">
        <f aca="false">Raw_Data!O185</f>
        <v>3</v>
      </c>
      <c r="P185" s="4" t="n">
        <f aca="false">Raw_Data!P185</f>
        <v>6</v>
      </c>
      <c r="Q185" s="4" t="str">
        <f aca="false">IF(OR(B185="",B185=0),"Unknown",IF(B185&lt;=25,"18-25",IF(B185&lt;=35,"26-35",IF(B185&lt;=45,"36-45","46+"))))</f>
        <v>18-25</v>
      </c>
      <c r="R185" s="4" t="n">
        <f aca="false">IF(F185="Below 20,000",10000,IF(F185="20,000-40,000",30000,IF(F185="40,000-60,000",50000,IF(F185="60,000-80,000",70000,IF(F185="Above 80,000",100000,0)))))</f>
        <v>30000</v>
      </c>
      <c r="S185" s="4" t="n">
        <f aca="false">IF(G185="Yes",1,0)</f>
        <v>1</v>
      </c>
    </row>
    <row r="186" customFormat="false" ht="15" hidden="false" customHeight="true" outlineLevel="0" collapsed="false">
      <c r="A186" s="3" t="str">
        <f aca="false">Raw_Data!A186</f>
        <v>R185</v>
      </c>
      <c r="B186" s="3" t="n">
        <f aca="false">Raw_Data!B186</f>
        <v>53</v>
      </c>
      <c r="C186" s="3" t="str">
        <f aca="false">Raw_Data!C186</f>
        <v>Male</v>
      </c>
      <c r="D186" s="3" t="str">
        <f aca="false">Raw_Data!D186</f>
        <v>Delhi</v>
      </c>
      <c r="E186" s="3" t="str">
        <f aca="false">Raw_Data!E186</f>
        <v>Freelancer</v>
      </c>
      <c r="F186" s="3" t="str">
        <f aca="false">Raw_Data!F186</f>
        <v>20,000-40,000</v>
      </c>
      <c r="G186" s="3" t="str">
        <f aca="false">Raw_Data!G186</f>
        <v>Yes</v>
      </c>
      <c r="H186" s="3" t="str">
        <f aca="false">Raw_Data!H186</f>
        <v>Paytm</v>
      </c>
      <c r="I186" s="3" t="str">
        <f aca="false">Raw_Data!I186</f>
        <v>Quarterly</v>
      </c>
      <c r="J186" s="3" t="n">
        <f aca="false">Raw_Data!J186</f>
        <v>1444</v>
      </c>
      <c r="K186" s="3" t="str">
        <f aca="false">Raw_Data!K186</f>
        <v>Savings</v>
      </c>
      <c r="L186" s="3" t="n">
        <f aca="false">Raw_Data!L186</f>
        <v>3</v>
      </c>
      <c r="M186" s="3" t="str">
        <f aca="false">Raw_Data!M186</f>
        <v>Medium</v>
      </c>
      <c r="N186" s="3" t="str">
        <f aca="false">Raw_Data!N186</f>
        <v>Mutual Funds</v>
      </c>
      <c r="O186" s="3" t="n">
        <f aca="false">Raw_Data!O186</f>
        <v>4</v>
      </c>
      <c r="P186" s="3" t="n">
        <f aca="false">Raw_Data!P186</f>
        <v>3</v>
      </c>
      <c r="Q186" s="3" t="str">
        <f aca="false">IF(OR(B186="",B186=0),"Unknown",IF(B186&lt;=25,"18-25",IF(B186&lt;=35,"26-35",IF(B186&lt;=45,"36-45","46+"))))</f>
        <v>46+</v>
      </c>
      <c r="R186" s="3" t="n">
        <f aca="false">IF(F186="Below 20,000",10000,IF(F186="20,000-40,000",30000,IF(F186="40,000-60,000",50000,IF(F186="60,000-80,000",70000,IF(F186="Above 80,000",100000,0)))))</f>
        <v>30000</v>
      </c>
      <c r="S186" s="3" t="n">
        <f aca="false">IF(G186="Yes",1,0)</f>
        <v>1</v>
      </c>
    </row>
    <row r="187" customFormat="false" ht="15" hidden="false" customHeight="true" outlineLevel="0" collapsed="false">
      <c r="A187" s="4" t="str">
        <f aca="false">Raw_Data!A187</f>
        <v>R186</v>
      </c>
      <c r="B187" s="4" t="n">
        <f aca="false">Raw_Data!B187</f>
        <v>56</v>
      </c>
      <c r="C187" s="4" t="str">
        <f aca="false">Raw_Data!C187</f>
        <v>Male</v>
      </c>
      <c r="D187" s="4" t="str">
        <f aca="false">Raw_Data!D187</f>
        <v>Kolkata</v>
      </c>
      <c r="E187" s="4" t="str">
        <f aca="false">Raw_Data!E187</f>
        <v>Government Employee</v>
      </c>
      <c r="F187" s="4" t="str">
        <f aca="false">Raw_Data!F187</f>
        <v>Below 20,000</v>
      </c>
      <c r="G187" s="4" t="str">
        <f aca="false">Raw_Data!G187</f>
        <v>Yes</v>
      </c>
      <c r="H187" s="4" t="str">
        <f aca="false">Raw_Data!H187</f>
        <v>Paytm</v>
      </c>
      <c r="I187" s="4" t="str">
        <f aca="false">Raw_Data!I187</f>
        <v>Quarterly</v>
      </c>
      <c r="J187" s="4" t="n">
        <f aca="false">Raw_Data!J187</f>
        <v>372</v>
      </c>
      <c r="K187" s="4" t="str">
        <f aca="false">Raw_Data!K187</f>
        <v>Savings</v>
      </c>
      <c r="L187" s="4" t="n">
        <f aca="false">Raw_Data!L187</f>
        <v>2</v>
      </c>
      <c r="M187" s="4" t="str">
        <f aca="false">Raw_Data!M187</f>
        <v>High</v>
      </c>
      <c r="N187" s="4" t="str">
        <f aca="false">Raw_Data!N187</f>
        <v>Digital Gold</v>
      </c>
      <c r="O187" s="4" t="n">
        <f aca="false">Raw_Data!O187</f>
        <v>1</v>
      </c>
      <c r="P187" s="4" t="n">
        <f aca="false">Raw_Data!P187</f>
        <v>10</v>
      </c>
      <c r="Q187" s="4" t="str">
        <f aca="false">IF(OR(B187="",B187=0),"Unknown",IF(B187&lt;=25,"18-25",IF(B187&lt;=35,"26-35",IF(B187&lt;=45,"36-45","46+"))))</f>
        <v>46+</v>
      </c>
      <c r="R187" s="4" t="n">
        <f aca="false">IF(F187="Below 20,000",10000,IF(F187="20,000-40,000",30000,IF(F187="40,000-60,000",50000,IF(F187="60,000-80,000",70000,IF(F187="Above 80,000",100000,0)))))</f>
        <v>10000</v>
      </c>
      <c r="S187" s="4" t="n">
        <f aca="false">IF(G187="Yes",1,0)</f>
        <v>1</v>
      </c>
    </row>
    <row r="188" customFormat="false" ht="15" hidden="false" customHeight="true" outlineLevel="0" collapsed="false">
      <c r="A188" s="3" t="str">
        <f aca="false">Raw_Data!A188</f>
        <v>R187</v>
      </c>
      <c r="B188" s="3" t="n">
        <f aca="false">Raw_Data!B188</f>
        <v>27</v>
      </c>
      <c r="C188" s="3" t="str">
        <f aca="false">Raw_Data!C188</f>
        <v>Male</v>
      </c>
      <c r="D188" s="3" t="str">
        <f aca="false">Raw_Data!D188</f>
        <v>Bangalore</v>
      </c>
      <c r="E188" s="3" t="str">
        <f aca="false">Raw_Data!E188</f>
        <v>Freelancer</v>
      </c>
      <c r="F188" s="3" t="str">
        <f aca="false">Raw_Data!F188</f>
        <v>Below 20,000</v>
      </c>
      <c r="G188" s="3" t="str">
        <f aca="false">Raw_Data!G188</f>
        <v>Yes</v>
      </c>
      <c r="H188" s="3" t="str">
        <f aca="false">Raw_Data!H188</f>
        <v>Paytm</v>
      </c>
      <c r="I188" s="3" t="str">
        <f aca="false">Raw_Data!I188</f>
        <v>Rarely</v>
      </c>
      <c r="J188" s="3" t="n">
        <f aca="false">Raw_Data!J188</f>
        <v>1231</v>
      </c>
      <c r="K188" s="3" t="str">
        <f aca="false">Raw_Data!K188</f>
        <v>Investment</v>
      </c>
      <c r="L188" s="3" t="n">
        <f aca="false">Raw_Data!L188</f>
        <v>5</v>
      </c>
      <c r="M188" s="3" t="str">
        <f aca="false">Raw_Data!M188</f>
        <v>High</v>
      </c>
      <c r="N188" s="3" t="str">
        <f aca="false">Raw_Data!N188</f>
        <v>Digital Gold</v>
      </c>
      <c r="O188" s="3" t="n">
        <f aca="false">Raw_Data!O188</f>
        <v>1</v>
      </c>
      <c r="P188" s="3" t="n">
        <f aca="false">Raw_Data!P188</f>
        <v>5</v>
      </c>
      <c r="Q188" s="3" t="str">
        <f aca="false">IF(OR(B188="",B188=0),"Unknown",IF(B188&lt;=25,"18-25",IF(B188&lt;=35,"26-35",IF(B188&lt;=45,"36-45","46+"))))</f>
        <v>26-35</v>
      </c>
      <c r="R188" s="3" t="n">
        <f aca="false">IF(F188="Below 20,000",10000,IF(F188="20,000-40,000",30000,IF(F188="40,000-60,000",50000,IF(F188="60,000-80,000",70000,IF(F188="Above 80,000",100000,0)))))</f>
        <v>10000</v>
      </c>
      <c r="S188" s="3" t="n">
        <f aca="false">IF(G188="Yes",1,0)</f>
        <v>1</v>
      </c>
    </row>
    <row r="189" customFormat="false" ht="15" hidden="false" customHeight="true" outlineLevel="0" collapsed="false">
      <c r="A189" s="4" t="str">
        <f aca="false">Raw_Data!A189</f>
        <v>R188</v>
      </c>
      <c r="B189" s="4" t="n">
        <f aca="false">Raw_Data!B189</f>
        <v>52</v>
      </c>
      <c r="C189" s="4" t="str">
        <f aca="false">Raw_Data!C189</f>
        <v>Male</v>
      </c>
      <c r="D189" s="4" t="str">
        <f aca="false">Raw_Data!D189</f>
        <v>Chennai</v>
      </c>
      <c r="E189" s="4" t="str">
        <f aca="false">Raw_Data!E189</f>
        <v>Homemaker</v>
      </c>
      <c r="F189" s="4" t="str">
        <f aca="false">Raw_Data!F189</f>
        <v>20,000-40,000</v>
      </c>
      <c r="G189" s="4" t="str">
        <f aca="false">Raw_Data!G189</f>
        <v>No</v>
      </c>
      <c r="H189" s="4" t="n">
        <f aca="false">Raw_Data!H189</f>
        <v>0</v>
      </c>
      <c r="I189" s="4" t="n">
        <f aca="false">Raw_Data!I189</f>
        <v>0</v>
      </c>
      <c r="J189" s="4" t="n">
        <f aca="false">Raw_Data!J189</f>
        <v>0</v>
      </c>
      <c r="K189" s="4" t="n">
        <f aca="false">Raw_Data!K189</f>
        <v>0</v>
      </c>
      <c r="L189" s="4" t="n">
        <f aca="false">Raw_Data!L189</f>
        <v>1</v>
      </c>
      <c r="M189" s="4" t="str">
        <f aca="false">Raw_Data!M189</f>
        <v>Low</v>
      </c>
      <c r="N189" s="4" t="str">
        <f aca="false">Raw_Data!N189</f>
        <v>Digital Gold</v>
      </c>
      <c r="O189" s="4" t="n">
        <f aca="false">Raw_Data!O189</f>
        <v>3</v>
      </c>
      <c r="P189" s="4" t="n">
        <f aca="false">Raw_Data!P189</f>
        <v>4</v>
      </c>
      <c r="Q189" s="4" t="str">
        <f aca="false">IF(OR(B189="",B189=0),"Unknown",IF(B189&lt;=25,"18-25",IF(B189&lt;=35,"26-35",IF(B189&lt;=45,"36-45","46+"))))</f>
        <v>46+</v>
      </c>
      <c r="R189" s="4" t="n">
        <f aca="false">IF(F189="Below 20,000",10000,IF(F189="20,000-40,000",30000,IF(F189="40,000-60,000",50000,IF(F189="60,000-80,000",70000,IF(F189="Above 80,000",100000,0)))))</f>
        <v>30000</v>
      </c>
      <c r="S189" s="4" t="n">
        <f aca="false">IF(G189="Yes",1,0)</f>
        <v>0</v>
      </c>
    </row>
    <row r="190" customFormat="false" ht="15" hidden="false" customHeight="true" outlineLevel="0" collapsed="false">
      <c r="A190" s="3" t="str">
        <f aca="false">Raw_Data!A190</f>
        <v>R189</v>
      </c>
      <c r="B190" s="3" t="n">
        <f aca="false">Raw_Data!B190</f>
        <v>20</v>
      </c>
      <c r="C190" s="3" t="str">
        <f aca="false">Raw_Data!C190</f>
        <v>Female</v>
      </c>
      <c r="D190" s="3" t="str">
        <f aca="false">Raw_Data!D190</f>
        <v>Ahmedabad</v>
      </c>
      <c r="E190" s="3" t="str">
        <f aca="false">Raw_Data!E190</f>
        <v>Salaried</v>
      </c>
      <c r="F190" s="3" t="str">
        <f aca="false">Raw_Data!F190</f>
        <v>20,000-40,000</v>
      </c>
      <c r="G190" s="3" t="str">
        <f aca="false">Raw_Data!G190</f>
        <v>Yes</v>
      </c>
      <c r="H190" s="3" t="str">
        <f aca="false">Raw_Data!H190</f>
        <v>Others</v>
      </c>
      <c r="I190" s="3" t="str">
        <f aca="false">Raw_Data!I190</f>
        <v>Quarterly</v>
      </c>
      <c r="J190" s="3" t="n">
        <f aca="false">Raw_Data!J190</f>
        <v>1188</v>
      </c>
      <c r="K190" s="3" t="str">
        <f aca="false">Raw_Data!K190</f>
        <v>Gifting</v>
      </c>
      <c r="L190" s="3" t="n">
        <f aca="false">Raw_Data!L190</f>
        <v>5</v>
      </c>
      <c r="M190" s="3" t="str">
        <f aca="false">Raw_Data!M190</f>
        <v>Low</v>
      </c>
      <c r="N190" s="3" t="str">
        <f aca="false">Raw_Data!N190</f>
        <v>Physical Gold</v>
      </c>
      <c r="O190" s="3" t="n">
        <f aca="false">Raw_Data!O190</f>
        <v>1</v>
      </c>
      <c r="P190" s="3" t="n">
        <f aca="false">Raw_Data!P190</f>
        <v>7</v>
      </c>
      <c r="Q190" s="3" t="str">
        <f aca="false">IF(OR(B190="",B190=0),"Unknown",IF(B190&lt;=25,"18-25",IF(B190&lt;=35,"26-35",IF(B190&lt;=45,"36-45","46+"))))</f>
        <v>18-25</v>
      </c>
      <c r="R190" s="3" t="n">
        <f aca="false">IF(F190="Below 20,000",10000,IF(F190="20,000-40,000",30000,IF(F190="40,000-60,000",50000,IF(F190="60,000-80,000",70000,IF(F190="Above 80,000",100000,0)))))</f>
        <v>30000</v>
      </c>
      <c r="S190" s="3" t="n">
        <f aca="false">IF(G190="Yes",1,0)</f>
        <v>1</v>
      </c>
    </row>
    <row r="191" customFormat="false" ht="15" hidden="false" customHeight="true" outlineLevel="0" collapsed="false">
      <c r="A191" s="4" t="str">
        <f aca="false">Raw_Data!A191</f>
        <v>R190</v>
      </c>
      <c r="B191" s="4" t="n">
        <f aca="false">Raw_Data!B191</f>
        <v>44</v>
      </c>
      <c r="C191" s="4" t="str">
        <f aca="false">Raw_Data!C191</f>
        <v>Male</v>
      </c>
      <c r="D191" s="4" t="str">
        <f aca="false">Raw_Data!D191</f>
        <v>Mumbai</v>
      </c>
      <c r="E191" s="4" t="str">
        <f aca="false">Raw_Data!E191</f>
        <v>Homemaker</v>
      </c>
      <c r="F191" s="4" t="str">
        <f aca="false">Raw_Data!F191</f>
        <v>Above 80,000</v>
      </c>
      <c r="G191" s="4" t="str">
        <f aca="false">Raw_Data!G191</f>
        <v>Yes</v>
      </c>
      <c r="H191" s="4" t="str">
        <f aca="false">Raw_Data!H191</f>
        <v>PhonePe</v>
      </c>
      <c r="I191" s="4" t="str">
        <f aca="false">Raw_Data!I191</f>
        <v>Rarely</v>
      </c>
      <c r="J191" s="4" t="n">
        <f aca="false">Raw_Data!J191</f>
        <v>25458</v>
      </c>
      <c r="K191" s="4" t="str">
        <f aca="false">Raw_Data!K191</f>
        <v>Investment</v>
      </c>
      <c r="L191" s="4" t="n">
        <f aca="false">Raw_Data!L191</f>
        <v>1</v>
      </c>
      <c r="M191" s="4" t="str">
        <f aca="false">Raw_Data!M191</f>
        <v>Low</v>
      </c>
      <c r="N191" s="4" t="str">
        <f aca="false">Raw_Data!N191</f>
        <v>Digital Gold</v>
      </c>
      <c r="O191" s="4" t="n">
        <f aca="false">Raw_Data!O191</f>
        <v>3</v>
      </c>
      <c r="P191" s="4" t="n">
        <f aca="false">Raw_Data!P191</f>
        <v>3</v>
      </c>
      <c r="Q191" s="4" t="str">
        <f aca="false">IF(OR(B191="",B191=0),"Unknown",IF(B191&lt;=25,"18-25",IF(B191&lt;=35,"26-35",IF(B191&lt;=45,"36-45","46+"))))</f>
        <v>36-45</v>
      </c>
      <c r="R191" s="4" t="n">
        <f aca="false">IF(F191="Below 20,000",10000,IF(F191="20,000-40,000",30000,IF(F191="40,000-60,000",50000,IF(F191="60,000-80,000",70000,IF(F191="Above 80,000",100000,0)))))</f>
        <v>100000</v>
      </c>
      <c r="S191" s="4" t="n">
        <f aca="false">IF(G191="Yes",1,0)</f>
        <v>1</v>
      </c>
    </row>
    <row r="192" customFormat="false" ht="15" hidden="false" customHeight="true" outlineLevel="0" collapsed="false">
      <c r="A192" s="3" t="str">
        <f aca="false">Raw_Data!A192</f>
        <v>R191</v>
      </c>
      <c r="B192" s="3" t="n">
        <f aca="false">Raw_Data!B192</f>
        <v>27</v>
      </c>
      <c r="C192" s="3" t="str">
        <f aca="false">Raw_Data!C192</f>
        <v>Male</v>
      </c>
      <c r="D192" s="3" t="str">
        <f aca="false">Raw_Data!D192</f>
        <v>Lucknow</v>
      </c>
      <c r="E192" s="3" t="str">
        <f aca="false">Raw_Data!E192</f>
        <v>Student</v>
      </c>
      <c r="F192" s="3" t="str">
        <f aca="false">Raw_Data!F192</f>
        <v>40,000-60,000</v>
      </c>
      <c r="G192" s="3" t="str">
        <f aca="false">Raw_Data!G192</f>
        <v>Yes</v>
      </c>
      <c r="H192" s="3" t="str">
        <f aca="false">Raw_Data!H192</f>
        <v>MMTC-PAMP</v>
      </c>
      <c r="I192" s="3" t="str">
        <f aca="false">Raw_Data!I192</f>
        <v>Daily</v>
      </c>
      <c r="J192" s="3" t="n">
        <f aca="false">Raw_Data!J192</f>
        <v>0</v>
      </c>
      <c r="K192" s="3" t="str">
        <f aca="false">Raw_Data!K192</f>
        <v>Investment</v>
      </c>
      <c r="L192" s="3" t="n">
        <f aca="false">Raw_Data!L192</f>
        <v>5</v>
      </c>
      <c r="M192" s="3" t="str">
        <f aca="false">Raw_Data!M192</f>
        <v>Low</v>
      </c>
      <c r="N192" s="3" t="str">
        <f aca="false">Raw_Data!N192</f>
        <v>Physical Gold</v>
      </c>
      <c r="O192" s="3" t="n">
        <f aca="false">Raw_Data!O192</f>
        <v>2</v>
      </c>
      <c r="P192" s="3" t="n">
        <f aca="false">Raw_Data!P192</f>
        <v>2</v>
      </c>
      <c r="Q192" s="3" t="str">
        <f aca="false">IF(OR(B192="",B192=0),"Unknown",IF(B192&lt;=25,"18-25",IF(B192&lt;=35,"26-35",IF(B192&lt;=45,"36-45","46+"))))</f>
        <v>26-35</v>
      </c>
      <c r="R192" s="3" t="n">
        <f aca="false">IF(F192="Below 20,000",10000,IF(F192="20,000-40,000",30000,IF(F192="40,000-60,000",50000,IF(F192="60,000-80,000",70000,IF(F192="Above 80,000",100000,0)))))</f>
        <v>50000</v>
      </c>
      <c r="S192" s="3" t="n">
        <f aca="false">IF(G192="Yes",1,0)</f>
        <v>1</v>
      </c>
    </row>
    <row r="193" customFormat="false" ht="15" hidden="false" customHeight="true" outlineLevel="0" collapsed="false">
      <c r="A193" s="4" t="str">
        <f aca="false">Raw_Data!A193</f>
        <v>R192</v>
      </c>
      <c r="B193" s="4" t="n">
        <f aca="false">Raw_Data!B193</f>
        <v>40</v>
      </c>
      <c r="C193" s="4" t="str">
        <f aca="false">Raw_Data!C193</f>
        <v>Male</v>
      </c>
      <c r="D193" s="4" t="str">
        <f aca="false">Raw_Data!D193</f>
        <v>Chennai</v>
      </c>
      <c r="E193" s="4" t="str">
        <f aca="false">Raw_Data!E193</f>
        <v>Business</v>
      </c>
      <c r="F193" s="4" t="str">
        <f aca="false">Raw_Data!F193</f>
        <v>60,000-80,000</v>
      </c>
      <c r="G193" s="4" t="str">
        <f aca="false">Raw_Data!G193</f>
        <v>Yes</v>
      </c>
      <c r="H193" s="4" t="str">
        <f aca="false">Raw_Data!H193</f>
        <v>Paytm</v>
      </c>
      <c r="I193" s="4" t="str">
        <f aca="false">Raw_Data!I193</f>
        <v>Rarely</v>
      </c>
      <c r="J193" s="4" t="n">
        <f aca="false">Raw_Data!J193</f>
        <v>0</v>
      </c>
      <c r="K193" s="4" t="str">
        <f aca="false">Raw_Data!K193</f>
        <v>Investment</v>
      </c>
      <c r="L193" s="4" t="n">
        <f aca="false">Raw_Data!L193</f>
        <v>1</v>
      </c>
      <c r="M193" s="4" t="str">
        <f aca="false">Raw_Data!M193</f>
        <v>High</v>
      </c>
      <c r="N193" s="4" t="str">
        <f aca="false">Raw_Data!N193</f>
        <v>Mutual Funds</v>
      </c>
      <c r="O193" s="4" t="n">
        <f aca="false">Raw_Data!O193</f>
        <v>5</v>
      </c>
      <c r="P193" s="4" t="n">
        <f aca="false">Raw_Data!P193</f>
        <v>10</v>
      </c>
      <c r="Q193" s="4" t="str">
        <f aca="false">IF(OR(B193="",B193=0),"Unknown",IF(B193&lt;=25,"18-25",IF(B193&lt;=35,"26-35",IF(B193&lt;=45,"36-45","46+"))))</f>
        <v>36-45</v>
      </c>
      <c r="R193" s="4" t="n">
        <f aca="false">IF(F193="Below 20,000",10000,IF(F193="20,000-40,000",30000,IF(F193="40,000-60,000",50000,IF(F193="60,000-80,000",70000,IF(F193="Above 80,000",100000,0)))))</f>
        <v>70000</v>
      </c>
      <c r="S193" s="4" t="n">
        <f aca="false">IF(G193="Yes",1,0)</f>
        <v>1</v>
      </c>
    </row>
    <row r="194" customFormat="false" ht="15" hidden="false" customHeight="true" outlineLevel="0" collapsed="false">
      <c r="A194" s="3" t="str">
        <f aca="false">Raw_Data!A194</f>
        <v>R193</v>
      </c>
      <c r="B194" s="3" t="n">
        <f aca="false">Raw_Data!B194</f>
        <v>33</v>
      </c>
      <c r="C194" s="3" t="str">
        <f aca="false">Raw_Data!C194</f>
        <v>Male</v>
      </c>
      <c r="D194" s="3" t="str">
        <f aca="false">Raw_Data!D194</f>
        <v>Lucknow</v>
      </c>
      <c r="E194" s="3" t="str">
        <f aca="false">Raw_Data!E194</f>
        <v>Freelancer</v>
      </c>
      <c r="F194" s="3" t="str">
        <f aca="false">Raw_Data!F194</f>
        <v>Below 20,000</v>
      </c>
      <c r="G194" s="3" t="str">
        <f aca="false">Raw_Data!G194</f>
        <v>Yes</v>
      </c>
      <c r="H194" s="3" t="str">
        <f aca="false">Raw_Data!H194</f>
        <v>Groww</v>
      </c>
      <c r="I194" s="3" t="str">
        <f aca="false">Raw_Data!I194</f>
        <v>Rarely</v>
      </c>
      <c r="J194" s="3" t="n">
        <f aca="false">Raw_Data!J194</f>
        <v>860</v>
      </c>
      <c r="K194" s="3" t="str">
        <f aca="false">Raw_Data!K194</f>
        <v>Savings</v>
      </c>
      <c r="L194" s="3" t="n">
        <f aca="false">Raw_Data!L194</f>
        <v>2</v>
      </c>
      <c r="M194" s="3" t="str">
        <f aca="false">Raw_Data!M194</f>
        <v>High</v>
      </c>
      <c r="N194" s="3" t="str">
        <f aca="false">Raw_Data!N194</f>
        <v>Fixed Deposit</v>
      </c>
      <c r="O194" s="3" t="n">
        <f aca="false">Raw_Data!O194</f>
        <v>4</v>
      </c>
      <c r="P194" s="3" t="n">
        <f aca="false">Raw_Data!P194</f>
        <v>8</v>
      </c>
      <c r="Q194" s="3" t="str">
        <f aca="false">IF(OR(B194="",B194=0),"Unknown",IF(B194&lt;=25,"18-25",IF(B194&lt;=35,"26-35",IF(B194&lt;=45,"36-45","46+"))))</f>
        <v>26-35</v>
      </c>
      <c r="R194" s="3" t="n">
        <f aca="false">IF(F194="Below 20,000",10000,IF(F194="20,000-40,000",30000,IF(F194="40,000-60,000",50000,IF(F194="60,000-80,000",70000,IF(F194="Above 80,000",100000,0)))))</f>
        <v>10000</v>
      </c>
      <c r="S194" s="3" t="n">
        <f aca="false">IF(G194="Yes",1,0)</f>
        <v>1</v>
      </c>
    </row>
    <row r="195" customFormat="false" ht="15" hidden="false" customHeight="true" outlineLevel="0" collapsed="false">
      <c r="A195" s="4" t="str">
        <f aca="false">Raw_Data!A195</f>
        <v>R194</v>
      </c>
      <c r="B195" s="4" t="n">
        <f aca="false">Raw_Data!B195</f>
        <v>38</v>
      </c>
      <c r="C195" s="4" t="str">
        <f aca="false">Raw_Data!C195</f>
        <v>Male</v>
      </c>
      <c r="D195" s="4" t="str">
        <f aca="false">Raw_Data!D195</f>
        <v>Kolkata</v>
      </c>
      <c r="E195" s="4" t="str">
        <f aca="false">Raw_Data!E195</f>
        <v>Business</v>
      </c>
      <c r="F195" s="4" t="str">
        <f aca="false">Raw_Data!F195</f>
        <v>20,000-40,000</v>
      </c>
      <c r="G195" s="4" t="str">
        <f aca="false">Raw_Data!G195</f>
        <v>Yes</v>
      </c>
      <c r="H195" s="4" t="str">
        <f aca="false">Raw_Data!H195</f>
        <v>Groww</v>
      </c>
      <c r="I195" s="4" t="str">
        <f aca="false">Raw_Data!I195</f>
        <v>Daily</v>
      </c>
      <c r="J195" s="4" t="n">
        <f aca="false">Raw_Data!J195</f>
        <v>3054</v>
      </c>
      <c r="K195" s="4" t="str">
        <f aca="false">Raw_Data!K195</f>
        <v>Savings</v>
      </c>
      <c r="L195" s="4" t="n">
        <f aca="false">Raw_Data!L195</f>
        <v>2</v>
      </c>
      <c r="M195" s="4" t="str">
        <f aca="false">Raw_Data!M195</f>
        <v>Low</v>
      </c>
      <c r="N195" s="4" t="str">
        <f aca="false">Raw_Data!N195</f>
        <v>Mutual Funds</v>
      </c>
      <c r="O195" s="4" t="n">
        <f aca="false">Raw_Data!O195</f>
        <v>5</v>
      </c>
      <c r="P195" s="4" t="n">
        <f aca="false">Raw_Data!P195</f>
        <v>10</v>
      </c>
      <c r="Q195" s="4" t="str">
        <f aca="false">IF(OR(B195="",B195=0),"Unknown",IF(B195&lt;=25,"18-25",IF(B195&lt;=35,"26-35",IF(B195&lt;=45,"36-45","46+"))))</f>
        <v>36-45</v>
      </c>
      <c r="R195" s="4" t="n">
        <f aca="false">IF(F195="Below 20,000",10000,IF(F195="20,000-40,000",30000,IF(F195="40,000-60,000",50000,IF(F195="60,000-80,000",70000,IF(F195="Above 80,000",100000,0)))))</f>
        <v>30000</v>
      </c>
      <c r="S195" s="4" t="n">
        <f aca="false">IF(G195="Yes",1,0)</f>
        <v>1</v>
      </c>
    </row>
    <row r="196" customFormat="false" ht="15" hidden="false" customHeight="true" outlineLevel="0" collapsed="false">
      <c r="A196" s="3" t="str">
        <f aca="false">Raw_Data!A196</f>
        <v>R195</v>
      </c>
      <c r="B196" s="3" t="n">
        <f aca="false">Raw_Data!B196</f>
        <v>24</v>
      </c>
      <c r="C196" s="3" t="str">
        <f aca="false">Raw_Data!C196</f>
        <v>Male</v>
      </c>
      <c r="D196" s="3" t="str">
        <f aca="false">Raw_Data!D196</f>
        <v>Jaipur</v>
      </c>
      <c r="E196" s="3" t="str">
        <f aca="false">Raw_Data!E196</f>
        <v>Student</v>
      </c>
      <c r="F196" s="3" t="str">
        <f aca="false">Raw_Data!F196</f>
        <v>Below 20,000</v>
      </c>
      <c r="G196" s="3" t="str">
        <f aca="false">Raw_Data!G196</f>
        <v>Yes</v>
      </c>
      <c r="H196" s="3" t="str">
        <f aca="false">Raw_Data!H196</f>
        <v>MMTC-PAMP</v>
      </c>
      <c r="I196" s="3" t="str">
        <f aca="false">Raw_Data!I196</f>
        <v>Quarterly</v>
      </c>
      <c r="J196" s="3" t="n">
        <f aca="false">Raw_Data!J196</f>
        <v>0</v>
      </c>
      <c r="K196" s="3" t="str">
        <f aca="false">Raw_Data!K196</f>
        <v>Investment</v>
      </c>
      <c r="L196" s="3" t="n">
        <f aca="false">Raw_Data!L196</f>
        <v>5</v>
      </c>
      <c r="M196" s="3" t="str">
        <f aca="false">Raw_Data!M196</f>
        <v>High</v>
      </c>
      <c r="N196" s="3" t="str">
        <f aca="false">Raw_Data!N196</f>
        <v>Digital Gold</v>
      </c>
      <c r="O196" s="3" t="n">
        <f aca="false">Raw_Data!O196</f>
        <v>3</v>
      </c>
      <c r="P196" s="3" t="n">
        <f aca="false">Raw_Data!P196</f>
        <v>8</v>
      </c>
      <c r="Q196" s="3" t="str">
        <f aca="false">IF(OR(B196="",B196=0),"Unknown",IF(B196&lt;=25,"18-25",IF(B196&lt;=35,"26-35",IF(B196&lt;=45,"36-45","46+"))))</f>
        <v>18-25</v>
      </c>
      <c r="R196" s="3" t="n">
        <f aca="false">IF(F196="Below 20,000",10000,IF(F196="20,000-40,000",30000,IF(F196="40,000-60,000",50000,IF(F196="60,000-80,000",70000,IF(F196="Above 80,000",100000,0)))))</f>
        <v>10000</v>
      </c>
      <c r="S196" s="3" t="n">
        <f aca="false">IF(G196="Yes",1,0)</f>
        <v>1</v>
      </c>
    </row>
    <row r="197" customFormat="false" ht="15" hidden="false" customHeight="true" outlineLevel="0" collapsed="false">
      <c r="A197" s="4" t="str">
        <f aca="false">Raw_Data!A197</f>
        <v>R196</v>
      </c>
      <c r="B197" s="4" t="n">
        <f aca="false">Raw_Data!B197</f>
        <v>55</v>
      </c>
      <c r="C197" s="4" t="str">
        <f aca="false">Raw_Data!C197</f>
        <v>Male</v>
      </c>
      <c r="D197" s="4" t="str">
        <f aca="false">Raw_Data!D197</f>
        <v>Pune</v>
      </c>
      <c r="E197" s="4" t="str">
        <f aca="false">Raw_Data!E197</f>
        <v>Homemaker</v>
      </c>
      <c r="F197" s="4" t="str">
        <f aca="false">Raw_Data!F197</f>
        <v>Above 80,000</v>
      </c>
      <c r="G197" s="4" t="str">
        <f aca="false">Raw_Data!G197</f>
        <v>Yes</v>
      </c>
      <c r="H197" s="4" t="str">
        <f aca="false">Raw_Data!H197</f>
        <v>Paytm</v>
      </c>
      <c r="I197" s="4" t="str">
        <f aca="false">Raw_Data!I197</f>
        <v>Weekly</v>
      </c>
      <c r="J197" s="4" t="n">
        <f aca="false">Raw_Data!J197</f>
        <v>16125</v>
      </c>
      <c r="K197" s="4" t="str">
        <f aca="false">Raw_Data!K197</f>
        <v>Savings</v>
      </c>
      <c r="L197" s="4" t="n">
        <f aca="false">Raw_Data!L197</f>
        <v>0</v>
      </c>
      <c r="M197" s="4" t="str">
        <f aca="false">Raw_Data!M197</f>
        <v>Medium</v>
      </c>
      <c r="N197" s="4" t="str">
        <f aca="false">Raw_Data!N197</f>
        <v>Physical Gold</v>
      </c>
      <c r="O197" s="4" t="n">
        <f aca="false">Raw_Data!O197</f>
        <v>5</v>
      </c>
      <c r="P197" s="4" t="n">
        <f aca="false">Raw_Data!P197</f>
        <v>3</v>
      </c>
      <c r="Q197" s="4" t="str">
        <f aca="false">IF(OR(B197="",B197=0),"Unknown",IF(B197&lt;=25,"18-25",IF(B197&lt;=35,"26-35",IF(B197&lt;=45,"36-45","46+"))))</f>
        <v>46+</v>
      </c>
      <c r="R197" s="4" t="n">
        <f aca="false">IF(F197="Below 20,000",10000,IF(F197="20,000-40,000",30000,IF(F197="40,000-60,000",50000,IF(F197="60,000-80,000",70000,IF(F197="Above 80,000",100000,0)))))</f>
        <v>100000</v>
      </c>
      <c r="S197" s="4" t="n">
        <f aca="false">IF(G197="Yes",1,0)</f>
        <v>1</v>
      </c>
    </row>
    <row r="198" customFormat="false" ht="15" hidden="false" customHeight="true" outlineLevel="0" collapsed="false">
      <c r="A198" s="3" t="str">
        <f aca="false">Raw_Data!A198</f>
        <v>R197</v>
      </c>
      <c r="B198" s="3" t="n">
        <f aca="false">Raw_Data!B198</f>
        <v>60</v>
      </c>
      <c r="C198" s="3" t="str">
        <f aca="false">Raw_Data!C198</f>
        <v>Male</v>
      </c>
      <c r="D198" s="3" t="str">
        <f aca="false">Raw_Data!D198</f>
        <v>Bangalore</v>
      </c>
      <c r="E198" s="3" t="str">
        <f aca="false">Raw_Data!E198</f>
        <v>Homemaker</v>
      </c>
      <c r="F198" s="3" t="str">
        <f aca="false">Raw_Data!F198</f>
        <v>40,000-60,000</v>
      </c>
      <c r="G198" s="3" t="str">
        <f aca="false">Raw_Data!G198</f>
        <v>Yes</v>
      </c>
      <c r="H198" s="3" t="str">
        <f aca="false">Raw_Data!H198</f>
        <v>Zerodha</v>
      </c>
      <c r="I198" s="3" t="str">
        <f aca="false">Raw_Data!I198</f>
        <v>Quarterly</v>
      </c>
      <c r="J198" s="3" t="n">
        <f aca="false">Raw_Data!J198</f>
        <v>2491</v>
      </c>
      <c r="K198" s="3" t="str">
        <f aca="false">Raw_Data!K198</f>
        <v>Savings</v>
      </c>
      <c r="L198" s="3" t="n">
        <f aca="false">Raw_Data!L198</f>
        <v>2</v>
      </c>
      <c r="M198" s="3" t="str">
        <f aca="false">Raw_Data!M198</f>
        <v>Low</v>
      </c>
      <c r="N198" s="3" t="str">
        <f aca="false">Raw_Data!N198</f>
        <v>Mutual Funds</v>
      </c>
      <c r="O198" s="3" t="n">
        <f aca="false">Raw_Data!O198</f>
        <v>1</v>
      </c>
      <c r="P198" s="3" t="n">
        <f aca="false">Raw_Data!P198</f>
        <v>10</v>
      </c>
      <c r="Q198" s="3" t="str">
        <f aca="false">IF(OR(B198="",B198=0),"Unknown",IF(B198&lt;=25,"18-25",IF(B198&lt;=35,"26-35",IF(B198&lt;=45,"36-45","46+"))))</f>
        <v>46+</v>
      </c>
      <c r="R198" s="3" t="n">
        <f aca="false">IF(F198="Below 20,000",10000,IF(F198="20,000-40,000",30000,IF(F198="40,000-60,000",50000,IF(F198="60,000-80,000",70000,IF(F198="Above 80,000",100000,0)))))</f>
        <v>50000</v>
      </c>
      <c r="S198" s="3" t="n">
        <f aca="false">IF(G198="Yes",1,0)</f>
        <v>1</v>
      </c>
    </row>
    <row r="199" customFormat="false" ht="15" hidden="false" customHeight="true" outlineLevel="0" collapsed="false">
      <c r="A199" s="4" t="str">
        <f aca="false">Raw_Data!A199</f>
        <v>R198</v>
      </c>
      <c r="B199" s="4" t="n">
        <f aca="false">Raw_Data!B199</f>
        <v>30</v>
      </c>
      <c r="C199" s="4" t="str">
        <f aca="false">Raw_Data!C199</f>
        <v>Female</v>
      </c>
      <c r="D199" s="4" t="str">
        <f aca="false">Raw_Data!D199</f>
        <v>Bangalore</v>
      </c>
      <c r="E199" s="4" t="str">
        <f aca="false">Raw_Data!E199</f>
        <v>Business</v>
      </c>
      <c r="F199" s="4" t="str">
        <f aca="false">Raw_Data!F199</f>
        <v>Below 20,000</v>
      </c>
      <c r="G199" s="4" t="str">
        <f aca="false">Raw_Data!G199</f>
        <v>Yes</v>
      </c>
      <c r="H199" s="4" t="str">
        <f aca="false">Raw_Data!H199</f>
        <v>MMTC-PAMP</v>
      </c>
      <c r="I199" s="4" t="str">
        <f aca="false">Raw_Data!I199</f>
        <v>Rarely</v>
      </c>
      <c r="J199" s="4" t="n">
        <f aca="false">Raw_Data!J199</f>
        <v>867</v>
      </c>
      <c r="K199" s="4" t="str">
        <f aca="false">Raw_Data!K199</f>
        <v>Investment</v>
      </c>
      <c r="L199" s="4" t="n">
        <f aca="false">Raw_Data!L199</f>
        <v>1</v>
      </c>
      <c r="M199" s="4" t="str">
        <f aca="false">Raw_Data!M199</f>
        <v>Low</v>
      </c>
      <c r="N199" s="4" t="str">
        <f aca="false">Raw_Data!N199</f>
        <v>Digital Gold</v>
      </c>
      <c r="O199" s="4" t="n">
        <f aca="false">Raw_Data!O199</f>
        <v>5</v>
      </c>
      <c r="P199" s="4" t="n">
        <f aca="false">Raw_Data!P199</f>
        <v>4</v>
      </c>
      <c r="Q199" s="4" t="str">
        <f aca="false">IF(OR(B199="",B199=0),"Unknown",IF(B199&lt;=25,"18-25",IF(B199&lt;=35,"26-35",IF(B199&lt;=45,"36-45","46+"))))</f>
        <v>26-35</v>
      </c>
      <c r="R199" s="4" t="n">
        <f aca="false">IF(F199="Below 20,000",10000,IF(F199="20,000-40,000",30000,IF(F199="40,000-60,000",50000,IF(F199="60,000-80,000",70000,IF(F199="Above 80,000",100000,0)))))</f>
        <v>10000</v>
      </c>
      <c r="S199" s="4" t="n">
        <f aca="false">IF(G199="Yes",1,0)</f>
        <v>1</v>
      </c>
    </row>
    <row r="200" customFormat="false" ht="15" hidden="false" customHeight="true" outlineLevel="0" collapsed="false">
      <c r="A200" s="3" t="str">
        <f aca="false">Raw_Data!A200</f>
        <v>R199</v>
      </c>
      <c r="B200" s="3" t="n">
        <f aca="false">Raw_Data!B200</f>
        <v>48</v>
      </c>
      <c r="C200" s="3" t="str">
        <f aca="false">Raw_Data!C200</f>
        <v>Male</v>
      </c>
      <c r="D200" s="3" t="str">
        <f aca="false">Raw_Data!D200</f>
        <v>Chennai</v>
      </c>
      <c r="E200" s="3" t="str">
        <f aca="false">Raw_Data!E200</f>
        <v>Business</v>
      </c>
      <c r="F200" s="3" t="str">
        <f aca="false">Raw_Data!F200</f>
        <v>20,000-40,000</v>
      </c>
      <c r="G200" s="3" t="str">
        <f aca="false">Raw_Data!G200</f>
        <v>Yes</v>
      </c>
      <c r="H200" s="3" t="str">
        <f aca="false">Raw_Data!H200</f>
        <v>MMTC-PAMP</v>
      </c>
      <c r="I200" s="3" t="str">
        <f aca="false">Raw_Data!I200</f>
        <v>Weekly</v>
      </c>
      <c r="J200" s="3" t="n">
        <f aca="false">Raw_Data!J200</f>
        <v>2374</v>
      </c>
      <c r="K200" s="3" t="str">
        <f aca="false">Raw_Data!K200</f>
        <v>Savings</v>
      </c>
      <c r="L200" s="3" t="n">
        <f aca="false">Raw_Data!L200</f>
        <v>5</v>
      </c>
      <c r="M200" s="3" t="str">
        <f aca="false">Raw_Data!M200</f>
        <v>Medium</v>
      </c>
      <c r="N200" s="3" t="str">
        <f aca="false">Raw_Data!N200</f>
        <v>Mutual Funds</v>
      </c>
      <c r="O200" s="3" t="n">
        <f aca="false">Raw_Data!O200</f>
        <v>4</v>
      </c>
      <c r="P200" s="3" t="n">
        <f aca="false">Raw_Data!P200</f>
        <v>8</v>
      </c>
      <c r="Q200" s="3" t="str">
        <f aca="false">IF(OR(B200="",B200=0),"Unknown",IF(B200&lt;=25,"18-25",IF(B200&lt;=35,"26-35",IF(B200&lt;=45,"36-45","46+"))))</f>
        <v>46+</v>
      </c>
      <c r="R200" s="3" t="n">
        <f aca="false">IF(F200="Below 20,000",10000,IF(F200="20,000-40,000",30000,IF(F200="40,000-60,000",50000,IF(F200="60,000-80,000",70000,IF(F200="Above 80,000",100000,0)))))</f>
        <v>30000</v>
      </c>
      <c r="S200" s="3" t="n">
        <f aca="false">IF(G200="Yes",1,0)</f>
        <v>1</v>
      </c>
    </row>
    <row r="201" customFormat="false" ht="15" hidden="false" customHeight="true" outlineLevel="0" collapsed="false">
      <c r="A201" s="4" t="str">
        <f aca="false">Raw_Data!A201</f>
        <v>R200</v>
      </c>
      <c r="B201" s="4" t="n">
        <f aca="false">Raw_Data!B201</f>
        <v>38</v>
      </c>
      <c r="C201" s="4" t="str">
        <f aca="false">Raw_Data!C201</f>
        <v>Male</v>
      </c>
      <c r="D201" s="4" t="str">
        <f aca="false">Raw_Data!D201</f>
        <v>Delhi</v>
      </c>
      <c r="E201" s="4" t="str">
        <f aca="false">Raw_Data!E201</f>
        <v>Homemaker</v>
      </c>
      <c r="F201" s="4" t="str">
        <f aca="false">Raw_Data!F201</f>
        <v>40,000-60,000</v>
      </c>
      <c r="G201" s="4" t="str">
        <f aca="false">Raw_Data!G201</f>
        <v>No</v>
      </c>
      <c r="H201" s="4" t="str">
        <f aca="false">Raw_Data!H201</f>
        <v>Google Pay</v>
      </c>
      <c r="I201" s="4" t="n">
        <f aca="false">Raw_Data!I201</f>
        <v>0</v>
      </c>
      <c r="J201" s="4" t="n">
        <f aca="false">Raw_Data!J201</f>
        <v>0</v>
      </c>
      <c r="K201" s="4" t="n">
        <f aca="false">Raw_Data!K201</f>
        <v>0</v>
      </c>
      <c r="L201" s="4" t="n">
        <f aca="false">Raw_Data!L201</f>
        <v>1</v>
      </c>
      <c r="M201" s="4" t="str">
        <f aca="false">Raw_Data!M201</f>
        <v>High</v>
      </c>
      <c r="N201" s="4" t="str">
        <f aca="false">Raw_Data!N201</f>
        <v>Digital Gold</v>
      </c>
      <c r="O201" s="4" t="n">
        <f aca="false">Raw_Data!O201</f>
        <v>3</v>
      </c>
      <c r="P201" s="4" t="n">
        <f aca="false">Raw_Data!P201</f>
        <v>10</v>
      </c>
      <c r="Q201" s="4" t="str">
        <f aca="false">IF(OR(B201="",B201=0),"Unknown",IF(B201&lt;=25,"18-25",IF(B201&lt;=35,"26-35",IF(B201&lt;=45,"36-45","46+"))))</f>
        <v>36-45</v>
      </c>
      <c r="R201" s="4" t="n">
        <f aca="false">IF(F201="Below 20,000",10000,IF(F201="20,000-40,000",30000,IF(F201="40,000-60,000",50000,IF(F201="60,000-80,000",70000,IF(F201="Above 80,000",100000,0)))))</f>
        <v>50000</v>
      </c>
      <c r="S201" s="4" t="n">
        <f aca="false">IF(G201="Yes",1,0)</f>
        <v>0</v>
      </c>
    </row>
    <row r="202" customFormat="false" ht="15" hidden="false" customHeight="true" outlineLevel="0" collapsed="false">
      <c r="A202" s="3" t="str">
        <f aca="false">Raw_Data!A202</f>
        <v>R201</v>
      </c>
      <c r="B202" s="3" t="n">
        <f aca="false">Raw_Data!B202</f>
        <v>50</v>
      </c>
      <c r="C202" s="3" t="str">
        <f aca="false">Raw_Data!C202</f>
        <v>Male</v>
      </c>
      <c r="D202" s="3" t="str">
        <f aca="false">Raw_Data!D202</f>
        <v>Chennai</v>
      </c>
      <c r="E202" s="3" t="str">
        <f aca="false">Raw_Data!E202</f>
        <v>Student</v>
      </c>
      <c r="F202" s="3" t="str">
        <f aca="false">Raw_Data!F202</f>
        <v>60,000-80,000</v>
      </c>
      <c r="G202" s="3" t="str">
        <f aca="false">Raw_Data!G202</f>
        <v>No</v>
      </c>
      <c r="H202" s="3" t="n">
        <f aca="false">Raw_Data!H202</f>
        <v>0</v>
      </c>
      <c r="I202" s="3" t="n">
        <f aca="false">Raw_Data!I202</f>
        <v>0</v>
      </c>
      <c r="J202" s="3" t="n">
        <f aca="false">Raw_Data!J202</f>
        <v>0</v>
      </c>
      <c r="K202" s="3" t="n">
        <f aca="false">Raw_Data!K202</f>
        <v>0</v>
      </c>
      <c r="L202" s="3" t="n">
        <f aca="false">Raw_Data!L202</f>
        <v>3</v>
      </c>
      <c r="M202" s="3" t="str">
        <f aca="false">Raw_Data!M202</f>
        <v>Medium</v>
      </c>
      <c r="N202" s="3" t="str">
        <f aca="false">Raw_Data!N202</f>
        <v>Mutual Funds</v>
      </c>
      <c r="O202" s="3" t="n">
        <f aca="false">Raw_Data!O202</f>
        <v>1</v>
      </c>
      <c r="P202" s="3" t="n">
        <f aca="false">Raw_Data!P202</f>
        <v>4</v>
      </c>
      <c r="Q202" s="3" t="str">
        <f aca="false">IF(OR(B202="",B202=0),"Unknown",IF(B202&lt;=25,"18-25",IF(B202&lt;=35,"26-35",IF(B202&lt;=45,"36-45","46+"))))</f>
        <v>46+</v>
      </c>
      <c r="R202" s="3" t="n">
        <f aca="false">IF(F202="Below 20,000",10000,IF(F202="20,000-40,000",30000,IF(F202="40,000-60,000",50000,IF(F202="60,000-80,000",70000,IF(F202="Above 80,000",100000,0)))))</f>
        <v>70000</v>
      </c>
      <c r="S202" s="3" t="n">
        <f aca="false">IF(G202="Yes",1,0)</f>
        <v>0</v>
      </c>
    </row>
    <row r="203" customFormat="false" ht="15" hidden="false" customHeight="true" outlineLevel="0" collapsed="false">
      <c r="A203" s="4" t="str">
        <f aca="false">Raw_Data!A203</f>
        <v>R202</v>
      </c>
      <c r="B203" s="4" t="n">
        <f aca="false">Raw_Data!B203</f>
        <v>50</v>
      </c>
      <c r="C203" s="4" t="str">
        <f aca="false">Raw_Data!C203</f>
        <v>Male</v>
      </c>
      <c r="D203" s="4" t="str">
        <f aca="false">Raw_Data!D203</f>
        <v>Chennai</v>
      </c>
      <c r="E203" s="4" t="str">
        <f aca="false">Raw_Data!E203</f>
        <v>Salaried</v>
      </c>
      <c r="F203" s="4" t="str">
        <f aca="false">Raw_Data!F203</f>
        <v>Above 80,000</v>
      </c>
      <c r="G203" s="4" t="str">
        <f aca="false">Raw_Data!G203</f>
        <v>Yes</v>
      </c>
      <c r="H203" s="4" t="str">
        <f aca="false">Raw_Data!H203</f>
        <v>Groww</v>
      </c>
      <c r="I203" s="4" t="str">
        <f aca="false">Raw_Data!I203</f>
        <v>Quarterly</v>
      </c>
      <c r="J203" s="4" t="n">
        <f aca="false">Raw_Data!J203</f>
        <v>7426</v>
      </c>
      <c r="K203" s="4" t="str">
        <f aca="false">Raw_Data!K203</f>
        <v>Investment</v>
      </c>
      <c r="L203" s="4" t="n">
        <f aca="false">Raw_Data!L203</f>
        <v>0</v>
      </c>
      <c r="M203" s="4" t="str">
        <f aca="false">Raw_Data!M203</f>
        <v>Medium</v>
      </c>
      <c r="N203" s="4" t="str">
        <f aca="false">Raw_Data!N203</f>
        <v>Digital Gold</v>
      </c>
      <c r="O203" s="4" t="n">
        <f aca="false">Raw_Data!O203</f>
        <v>1</v>
      </c>
      <c r="P203" s="4" t="n">
        <f aca="false">Raw_Data!P203</f>
        <v>6</v>
      </c>
      <c r="Q203" s="4" t="str">
        <f aca="false">IF(OR(B203="",B203=0),"Unknown",IF(B203&lt;=25,"18-25",IF(B203&lt;=35,"26-35",IF(B203&lt;=45,"36-45","46+"))))</f>
        <v>46+</v>
      </c>
      <c r="R203" s="4" t="n">
        <f aca="false">IF(F203="Below 20,000",10000,IF(F203="20,000-40,000",30000,IF(F203="40,000-60,000",50000,IF(F203="60,000-80,000",70000,IF(F203="Above 80,000",100000,0)))))</f>
        <v>100000</v>
      </c>
      <c r="S203" s="4" t="n">
        <f aca="false">IF(G203="Yes",1,0)</f>
        <v>1</v>
      </c>
    </row>
    <row r="204" customFormat="false" ht="15" hidden="false" customHeight="true" outlineLevel="0" collapsed="false">
      <c r="A204" s="3" t="str">
        <f aca="false">Raw_Data!A204</f>
        <v>R203</v>
      </c>
      <c r="B204" s="3" t="n">
        <f aca="false">Raw_Data!B204</f>
        <v>45</v>
      </c>
      <c r="C204" s="3" t="str">
        <f aca="false">Raw_Data!C204</f>
        <v>Female</v>
      </c>
      <c r="D204" s="3" t="str">
        <f aca="false">Raw_Data!D204</f>
        <v>Pune</v>
      </c>
      <c r="E204" s="3" t="str">
        <f aca="false">Raw_Data!E204</f>
        <v>Government Employee</v>
      </c>
      <c r="F204" s="3" t="n">
        <f aca="false">Raw_Data!F204</f>
        <v>0</v>
      </c>
      <c r="G204" s="3" t="str">
        <f aca="false">Raw_Data!G204</f>
        <v>No</v>
      </c>
      <c r="H204" s="3" t="n">
        <f aca="false">Raw_Data!H204</f>
        <v>0</v>
      </c>
      <c r="I204" s="3" t="n">
        <f aca="false">Raw_Data!I204</f>
        <v>0</v>
      </c>
      <c r="J204" s="3" t="n">
        <f aca="false">Raw_Data!J204</f>
        <v>0</v>
      </c>
      <c r="K204" s="3" t="n">
        <f aca="false">Raw_Data!K204</f>
        <v>0</v>
      </c>
      <c r="L204" s="3" t="n">
        <f aca="false">Raw_Data!L204</f>
        <v>1</v>
      </c>
      <c r="M204" s="3" t="str">
        <f aca="false">Raw_Data!M204</f>
        <v>High</v>
      </c>
      <c r="N204" s="3" t="str">
        <f aca="false">Raw_Data!N204</f>
        <v>Mutual Funds</v>
      </c>
      <c r="O204" s="3" t="n">
        <f aca="false">Raw_Data!O204</f>
        <v>4</v>
      </c>
      <c r="P204" s="3" t="n">
        <f aca="false">Raw_Data!P204</f>
        <v>3</v>
      </c>
      <c r="Q204" s="3" t="str">
        <f aca="false">IF(OR(B204="",B204=0),"Unknown",IF(B204&lt;=25,"18-25",IF(B204&lt;=35,"26-35",IF(B204&lt;=45,"36-45","46+"))))</f>
        <v>36-45</v>
      </c>
      <c r="R204" s="3" t="n">
        <f aca="false">IF(F204="Below 20,000",10000,IF(F204="20,000-40,000",30000,IF(F204="40,000-60,000",50000,IF(F204="60,000-80,000",70000,IF(F204="Above 80,000",100000,0)))))</f>
        <v>0</v>
      </c>
      <c r="S204" s="3" t="n">
        <f aca="false">IF(G204="Yes",1,0)</f>
        <v>0</v>
      </c>
    </row>
    <row r="205" customFormat="false" ht="15" hidden="false" customHeight="true" outlineLevel="0" collapsed="false">
      <c r="A205" s="4" t="str">
        <f aca="false">Raw_Data!A205</f>
        <v>R204</v>
      </c>
      <c r="B205" s="4" t="n">
        <f aca="false">Raw_Data!B205</f>
        <v>46</v>
      </c>
      <c r="C205" s="4" t="str">
        <f aca="false">Raw_Data!C205</f>
        <v>Male</v>
      </c>
      <c r="D205" s="4" t="str">
        <f aca="false">Raw_Data!D205</f>
        <v>Jaipur</v>
      </c>
      <c r="E205" s="4" t="str">
        <f aca="false">Raw_Data!E205</f>
        <v>Government Employee</v>
      </c>
      <c r="F205" s="4" t="str">
        <f aca="false">Raw_Data!F205</f>
        <v>20,000-40,000</v>
      </c>
      <c r="G205" s="4" t="str">
        <f aca="false">Raw_Data!G205</f>
        <v>Yes</v>
      </c>
      <c r="H205" s="4" t="str">
        <f aca="false">Raw_Data!H205</f>
        <v>Groww</v>
      </c>
      <c r="I205" s="4" t="str">
        <f aca="false">Raw_Data!I205</f>
        <v>Monthly</v>
      </c>
      <c r="J205" s="4" t="n">
        <f aca="false">Raw_Data!J205</f>
        <v>3717</v>
      </c>
      <c r="K205" s="4" t="str">
        <f aca="false">Raw_Data!K205</f>
        <v>Savings</v>
      </c>
      <c r="L205" s="4" t="n">
        <f aca="false">Raw_Data!L205</f>
        <v>3</v>
      </c>
      <c r="M205" s="4" t="str">
        <f aca="false">Raw_Data!M205</f>
        <v>Low</v>
      </c>
      <c r="N205" s="4" t="str">
        <f aca="false">Raw_Data!N205</f>
        <v>Fixed Deposit</v>
      </c>
      <c r="O205" s="4" t="n">
        <f aca="false">Raw_Data!O205</f>
        <v>4</v>
      </c>
      <c r="P205" s="4" t="n">
        <f aca="false">Raw_Data!P205</f>
        <v>9</v>
      </c>
      <c r="Q205" s="4" t="str">
        <f aca="false">IF(OR(B205="",B205=0),"Unknown",IF(B205&lt;=25,"18-25",IF(B205&lt;=35,"26-35",IF(B205&lt;=45,"36-45","46+"))))</f>
        <v>46+</v>
      </c>
      <c r="R205" s="4" t="n">
        <f aca="false">IF(F205="Below 20,000",10000,IF(F205="20,000-40,000",30000,IF(F205="40,000-60,000",50000,IF(F205="60,000-80,000",70000,IF(F205="Above 80,000",100000,0)))))</f>
        <v>30000</v>
      </c>
      <c r="S205" s="4" t="n">
        <f aca="false">IF(G205="Yes",1,0)</f>
        <v>1</v>
      </c>
    </row>
    <row r="206" customFormat="false" ht="15" hidden="false" customHeight="true" outlineLevel="0" collapsed="false">
      <c r="A206" s="3" t="str">
        <f aca="false">Raw_Data!A206</f>
        <v>R205</v>
      </c>
      <c r="B206" s="3" t="n">
        <f aca="false">Raw_Data!B206</f>
        <v>58</v>
      </c>
      <c r="C206" s="3" t="str">
        <f aca="false">Raw_Data!C206</f>
        <v>Male</v>
      </c>
      <c r="D206" s="3" t="str">
        <f aca="false">Raw_Data!D206</f>
        <v>Pune</v>
      </c>
      <c r="E206" s="3" t="str">
        <f aca="false">Raw_Data!E206</f>
        <v>Business</v>
      </c>
      <c r="F206" s="3" t="str">
        <f aca="false">Raw_Data!F206</f>
        <v>Above 80,000</v>
      </c>
      <c r="G206" s="3" t="str">
        <f aca="false">Raw_Data!G206</f>
        <v>Yes</v>
      </c>
      <c r="H206" s="3" t="str">
        <f aca="false">Raw_Data!H206</f>
        <v>Paytm</v>
      </c>
      <c r="I206" s="3" t="str">
        <f aca="false">Raw_Data!I206</f>
        <v>Monthly</v>
      </c>
      <c r="J206" s="3" t="n">
        <f aca="false">Raw_Data!J206</f>
        <v>11293</v>
      </c>
      <c r="K206" s="3" t="str">
        <f aca="false">Raw_Data!K206</f>
        <v>Savings</v>
      </c>
      <c r="L206" s="3" t="n">
        <f aca="false">Raw_Data!L206</f>
        <v>5</v>
      </c>
      <c r="M206" s="3" t="str">
        <f aca="false">Raw_Data!M206</f>
        <v>Low</v>
      </c>
      <c r="N206" s="3" t="str">
        <f aca="false">Raw_Data!N206</f>
        <v>Digital Gold</v>
      </c>
      <c r="O206" s="3" t="n">
        <f aca="false">Raw_Data!O206</f>
        <v>3</v>
      </c>
      <c r="P206" s="3" t="n">
        <f aca="false">Raw_Data!P206</f>
        <v>8</v>
      </c>
      <c r="Q206" s="3" t="str">
        <f aca="false">IF(OR(B206="",B206=0),"Unknown",IF(B206&lt;=25,"18-25",IF(B206&lt;=35,"26-35",IF(B206&lt;=45,"36-45","46+"))))</f>
        <v>46+</v>
      </c>
      <c r="R206" s="3" t="n">
        <f aca="false">IF(F206="Below 20,000",10000,IF(F206="20,000-40,000",30000,IF(F206="40,000-60,000",50000,IF(F206="60,000-80,000",70000,IF(F206="Above 80,000",100000,0)))))</f>
        <v>100000</v>
      </c>
      <c r="S206" s="3" t="n">
        <f aca="false">IF(G206="Yes",1,0)</f>
        <v>1</v>
      </c>
    </row>
    <row r="207" customFormat="false" ht="15" hidden="false" customHeight="true" outlineLevel="0" collapsed="false">
      <c r="A207" s="4" t="str">
        <f aca="false">Raw_Data!A207</f>
        <v>R206</v>
      </c>
      <c r="B207" s="4" t="n">
        <f aca="false">Raw_Data!B207</f>
        <v>24</v>
      </c>
      <c r="C207" s="4" t="str">
        <f aca="false">Raw_Data!C207</f>
        <v>Male</v>
      </c>
      <c r="D207" s="4" t="str">
        <f aca="false">Raw_Data!D207</f>
        <v>Jaipur</v>
      </c>
      <c r="E207" s="4" t="str">
        <f aca="false">Raw_Data!E207</f>
        <v>Student</v>
      </c>
      <c r="F207" s="4" t="str">
        <f aca="false">Raw_Data!F207</f>
        <v>20,000-40,000</v>
      </c>
      <c r="G207" s="4" t="str">
        <f aca="false">Raw_Data!G207</f>
        <v>Yes</v>
      </c>
      <c r="H207" s="4" t="str">
        <f aca="false">Raw_Data!H207</f>
        <v>Zerodha</v>
      </c>
      <c r="I207" s="4" t="str">
        <f aca="false">Raw_Data!I207</f>
        <v>Rarely</v>
      </c>
      <c r="J207" s="4" t="n">
        <f aca="false">Raw_Data!J207</f>
        <v>909</v>
      </c>
      <c r="K207" s="4" t="str">
        <f aca="false">Raw_Data!K207</f>
        <v>Savings</v>
      </c>
      <c r="L207" s="4" t="n">
        <f aca="false">Raw_Data!L207</f>
        <v>0</v>
      </c>
      <c r="M207" s="4" t="str">
        <f aca="false">Raw_Data!M207</f>
        <v>Low</v>
      </c>
      <c r="N207" s="4" t="str">
        <f aca="false">Raw_Data!N207</f>
        <v>Digital Gold</v>
      </c>
      <c r="O207" s="4" t="n">
        <f aca="false">Raw_Data!O207</f>
        <v>4</v>
      </c>
      <c r="P207" s="4" t="n">
        <f aca="false">Raw_Data!P207</f>
        <v>3</v>
      </c>
      <c r="Q207" s="4" t="str">
        <f aca="false">IF(OR(B207="",B207=0),"Unknown",IF(B207&lt;=25,"18-25",IF(B207&lt;=35,"26-35",IF(B207&lt;=45,"36-45","46+"))))</f>
        <v>18-25</v>
      </c>
      <c r="R207" s="4" t="n">
        <f aca="false">IF(F207="Below 20,000",10000,IF(F207="20,000-40,000",30000,IF(F207="40,000-60,000",50000,IF(F207="60,000-80,000",70000,IF(F207="Above 80,000",100000,0)))))</f>
        <v>30000</v>
      </c>
      <c r="S207" s="4" t="n">
        <f aca="false">IF(G207="Yes",1,0)</f>
        <v>1</v>
      </c>
    </row>
    <row r="208" customFormat="false" ht="15" hidden="false" customHeight="true" outlineLevel="0" collapsed="false">
      <c r="A208" s="3" t="str">
        <f aca="false">Raw_Data!A208</f>
        <v>R207</v>
      </c>
      <c r="B208" s="3" t="n">
        <f aca="false">Raw_Data!B208</f>
        <v>56</v>
      </c>
      <c r="C208" s="3" t="str">
        <f aca="false">Raw_Data!C208</f>
        <v>Female</v>
      </c>
      <c r="D208" s="3" t="str">
        <f aca="false">Raw_Data!D208</f>
        <v>Jaipur</v>
      </c>
      <c r="E208" s="3" t="str">
        <f aca="false">Raw_Data!E208</f>
        <v>Business</v>
      </c>
      <c r="F208" s="3" t="str">
        <f aca="false">Raw_Data!F208</f>
        <v>60,000-80,000</v>
      </c>
      <c r="G208" s="3" t="str">
        <f aca="false">Raw_Data!G208</f>
        <v>Yes</v>
      </c>
      <c r="H208" s="3" t="str">
        <f aca="false">Raw_Data!H208</f>
        <v>Zerodha</v>
      </c>
      <c r="I208" s="3" t="n">
        <f aca="false">Raw_Data!I208</f>
        <v>0</v>
      </c>
      <c r="J208" s="3" t="n">
        <f aca="false">Raw_Data!J208</f>
        <v>10434</v>
      </c>
      <c r="K208" s="3" t="str">
        <f aca="false">Raw_Data!K208</f>
        <v>Investment</v>
      </c>
      <c r="L208" s="3" t="n">
        <f aca="false">Raw_Data!L208</f>
        <v>4</v>
      </c>
      <c r="M208" s="3" t="str">
        <f aca="false">Raw_Data!M208</f>
        <v>Low</v>
      </c>
      <c r="N208" s="3" t="str">
        <f aca="false">Raw_Data!N208</f>
        <v>Digital Gold</v>
      </c>
      <c r="O208" s="3" t="n">
        <f aca="false">Raw_Data!O208</f>
        <v>5</v>
      </c>
      <c r="P208" s="3" t="n">
        <f aca="false">Raw_Data!P208</f>
        <v>1</v>
      </c>
      <c r="Q208" s="3" t="str">
        <f aca="false">IF(OR(B208="",B208=0),"Unknown",IF(B208&lt;=25,"18-25",IF(B208&lt;=35,"26-35",IF(B208&lt;=45,"36-45","46+"))))</f>
        <v>46+</v>
      </c>
      <c r="R208" s="3" t="n">
        <f aca="false">IF(F208="Below 20,000",10000,IF(F208="20,000-40,000",30000,IF(F208="40,000-60,000",50000,IF(F208="60,000-80,000",70000,IF(F208="Above 80,000",100000,0)))))</f>
        <v>70000</v>
      </c>
      <c r="S208" s="3" t="n">
        <f aca="false">IF(G208="Yes",1,0)</f>
        <v>1</v>
      </c>
    </row>
    <row r="209" customFormat="false" ht="15" hidden="false" customHeight="true" outlineLevel="0" collapsed="false">
      <c r="A209" s="4" t="str">
        <f aca="false">Raw_Data!A209</f>
        <v>R208</v>
      </c>
      <c r="B209" s="4" t="n">
        <f aca="false">Raw_Data!B209</f>
        <v>54</v>
      </c>
      <c r="C209" s="4" t="str">
        <f aca="false">Raw_Data!C209</f>
        <v>Female</v>
      </c>
      <c r="D209" s="4" t="str">
        <f aca="false">Raw_Data!D209</f>
        <v>Chennai</v>
      </c>
      <c r="E209" s="4" t="str">
        <f aca="false">Raw_Data!E209</f>
        <v>Government Employee</v>
      </c>
      <c r="F209" s="4" t="str">
        <f aca="false">Raw_Data!F209</f>
        <v>Above 80,000</v>
      </c>
      <c r="G209" s="4" t="str">
        <f aca="false">Raw_Data!G209</f>
        <v>Yes</v>
      </c>
      <c r="H209" s="4" t="str">
        <f aca="false">Raw_Data!H209</f>
        <v>Paytm</v>
      </c>
      <c r="I209" s="4" t="str">
        <f aca="false">Raw_Data!I209</f>
        <v>Monthly</v>
      </c>
      <c r="J209" s="4" t="n">
        <f aca="false">Raw_Data!J209</f>
        <v>0</v>
      </c>
      <c r="K209" s="4" t="str">
        <f aca="false">Raw_Data!K209</f>
        <v>Savings</v>
      </c>
      <c r="L209" s="4" t="n">
        <f aca="false">Raw_Data!L209</f>
        <v>5</v>
      </c>
      <c r="M209" s="4" t="str">
        <f aca="false">Raw_Data!M209</f>
        <v>High</v>
      </c>
      <c r="N209" s="4" t="str">
        <f aca="false">Raw_Data!N209</f>
        <v>Digital Gold</v>
      </c>
      <c r="O209" s="4" t="n">
        <f aca="false">Raw_Data!O209</f>
        <v>4</v>
      </c>
      <c r="P209" s="4" t="n">
        <f aca="false">Raw_Data!P209</f>
        <v>1</v>
      </c>
      <c r="Q209" s="4" t="str">
        <f aca="false">IF(OR(B209="",B209=0),"Unknown",IF(B209&lt;=25,"18-25",IF(B209&lt;=35,"26-35",IF(B209&lt;=45,"36-45","46+"))))</f>
        <v>46+</v>
      </c>
      <c r="R209" s="4" t="n">
        <f aca="false">IF(F209="Below 20,000",10000,IF(F209="20,000-40,000",30000,IF(F209="40,000-60,000",50000,IF(F209="60,000-80,000",70000,IF(F209="Above 80,000",100000,0)))))</f>
        <v>100000</v>
      </c>
      <c r="S209" s="4" t="n">
        <f aca="false">IF(G209="Yes",1,0)</f>
        <v>1</v>
      </c>
    </row>
    <row r="210" customFormat="false" ht="15" hidden="false" customHeight="true" outlineLevel="0" collapsed="false">
      <c r="A210" s="3" t="str">
        <f aca="false">Raw_Data!A210</f>
        <v>R209</v>
      </c>
      <c r="B210" s="3" t="n">
        <f aca="false">Raw_Data!B210</f>
        <v>50</v>
      </c>
      <c r="C210" s="3" t="str">
        <f aca="false">Raw_Data!C210</f>
        <v>Male</v>
      </c>
      <c r="D210" s="3" t="str">
        <f aca="false">Raw_Data!D210</f>
        <v>Jaipur</v>
      </c>
      <c r="E210" s="3" t="str">
        <f aca="false">Raw_Data!E210</f>
        <v>Homemaker</v>
      </c>
      <c r="F210" s="3" t="str">
        <f aca="false">Raw_Data!F210</f>
        <v>20,000-40,000</v>
      </c>
      <c r="G210" s="3" t="str">
        <f aca="false">Raw_Data!G210</f>
        <v>Yes</v>
      </c>
      <c r="H210" s="3" t="str">
        <f aca="false">Raw_Data!H210</f>
        <v>Zerodha</v>
      </c>
      <c r="I210" s="3" t="n">
        <f aca="false">Raw_Data!I210</f>
        <v>0</v>
      </c>
      <c r="J210" s="3" t="n">
        <f aca="false">Raw_Data!J210</f>
        <v>1415</v>
      </c>
      <c r="K210" s="3" t="str">
        <f aca="false">Raw_Data!K210</f>
        <v>Investment</v>
      </c>
      <c r="L210" s="3" t="n">
        <f aca="false">Raw_Data!L210</f>
        <v>5</v>
      </c>
      <c r="M210" s="3" t="str">
        <f aca="false">Raw_Data!M210</f>
        <v>High</v>
      </c>
      <c r="N210" s="3" t="str">
        <f aca="false">Raw_Data!N210</f>
        <v>Mutual Funds</v>
      </c>
      <c r="O210" s="3" t="n">
        <f aca="false">Raw_Data!O210</f>
        <v>5</v>
      </c>
      <c r="P210" s="3" t="n">
        <f aca="false">Raw_Data!P210</f>
        <v>6</v>
      </c>
      <c r="Q210" s="3" t="str">
        <f aca="false">IF(OR(B210="",B210=0),"Unknown",IF(B210&lt;=25,"18-25",IF(B210&lt;=35,"26-35",IF(B210&lt;=45,"36-45","46+"))))</f>
        <v>46+</v>
      </c>
      <c r="R210" s="3" t="n">
        <f aca="false">IF(F210="Below 20,000",10000,IF(F210="20,000-40,000",30000,IF(F210="40,000-60,000",50000,IF(F210="60,000-80,000",70000,IF(F210="Above 80,000",100000,0)))))</f>
        <v>30000</v>
      </c>
      <c r="S210" s="3" t="n">
        <f aca="false">IF(G210="Yes",1,0)</f>
        <v>1</v>
      </c>
    </row>
    <row r="211" customFormat="false" ht="15" hidden="false" customHeight="true" outlineLevel="0" collapsed="false">
      <c r="A211" s="4" t="str">
        <f aca="false">Raw_Data!A211</f>
        <v>R210</v>
      </c>
      <c r="B211" s="4" t="n">
        <f aca="false">Raw_Data!B211</f>
        <v>42</v>
      </c>
      <c r="C211" s="4" t="str">
        <f aca="false">Raw_Data!C211</f>
        <v>Male</v>
      </c>
      <c r="D211" s="4" t="str">
        <f aca="false">Raw_Data!D211</f>
        <v>Pune</v>
      </c>
      <c r="E211" s="4" t="str">
        <f aca="false">Raw_Data!E211</f>
        <v>Government Employee</v>
      </c>
      <c r="F211" s="4" t="str">
        <f aca="false">Raw_Data!F211</f>
        <v>40,000-60,000</v>
      </c>
      <c r="G211" s="4" t="str">
        <f aca="false">Raw_Data!G211</f>
        <v>No</v>
      </c>
      <c r="H211" s="4" t="n">
        <f aca="false">Raw_Data!H211</f>
        <v>0</v>
      </c>
      <c r="I211" s="4" t="n">
        <f aca="false">Raw_Data!I211</f>
        <v>0</v>
      </c>
      <c r="J211" s="4" t="n">
        <f aca="false">Raw_Data!J211</f>
        <v>0</v>
      </c>
      <c r="K211" s="4" t="n">
        <f aca="false">Raw_Data!K211</f>
        <v>0</v>
      </c>
      <c r="L211" s="4" t="n">
        <f aca="false">Raw_Data!L211</f>
        <v>2</v>
      </c>
      <c r="M211" s="4" t="str">
        <f aca="false">Raw_Data!M211</f>
        <v>High</v>
      </c>
      <c r="N211" s="4" t="str">
        <f aca="false">Raw_Data!N211</f>
        <v>Fixed Deposit</v>
      </c>
      <c r="O211" s="4" t="n">
        <f aca="false">Raw_Data!O211</f>
        <v>3</v>
      </c>
      <c r="P211" s="4" t="n">
        <f aca="false">Raw_Data!P211</f>
        <v>9</v>
      </c>
      <c r="Q211" s="4" t="str">
        <f aca="false">IF(OR(B211="",B211=0),"Unknown",IF(B211&lt;=25,"18-25",IF(B211&lt;=35,"26-35",IF(B211&lt;=45,"36-45","46+"))))</f>
        <v>36-45</v>
      </c>
      <c r="R211" s="4" t="n">
        <f aca="false">IF(F211="Below 20,000",10000,IF(F211="20,000-40,000",30000,IF(F211="40,000-60,000",50000,IF(F211="60,000-80,000",70000,IF(F211="Above 80,000",100000,0)))))</f>
        <v>50000</v>
      </c>
      <c r="S211" s="4" t="n">
        <f aca="false">IF(G211="Yes",1,0)</f>
        <v>0</v>
      </c>
    </row>
    <row r="212" customFormat="false" ht="15" hidden="false" customHeight="true" outlineLevel="0" collapsed="false">
      <c r="A212" s="3" t="str">
        <f aca="false">Raw_Data!A212</f>
        <v>R211</v>
      </c>
      <c r="B212" s="3" t="n">
        <f aca="false">Raw_Data!B212</f>
        <v>53</v>
      </c>
      <c r="C212" s="3" t="str">
        <f aca="false">Raw_Data!C212</f>
        <v>Female</v>
      </c>
      <c r="D212" s="3" t="str">
        <f aca="false">Raw_Data!D212</f>
        <v>Kolkata</v>
      </c>
      <c r="E212" s="3" t="str">
        <f aca="false">Raw_Data!E212</f>
        <v>Business</v>
      </c>
      <c r="F212" s="3" t="str">
        <f aca="false">Raw_Data!F212</f>
        <v>60,000-80,000</v>
      </c>
      <c r="G212" s="3" t="str">
        <f aca="false">Raw_Data!G212</f>
        <v>Yes</v>
      </c>
      <c r="H212" s="3" t="str">
        <f aca="false">Raw_Data!H212</f>
        <v>MMTC-PAMP</v>
      </c>
      <c r="I212" s="3" t="str">
        <f aca="false">Raw_Data!I212</f>
        <v>Daily</v>
      </c>
      <c r="J212" s="3" t="n">
        <f aca="false">Raw_Data!J212</f>
        <v>6110</v>
      </c>
      <c r="K212" s="3" t="str">
        <f aca="false">Raw_Data!K212</f>
        <v>Gifting</v>
      </c>
      <c r="L212" s="3" t="n">
        <f aca="false">Raw_Data!L212</f>
        <v>4</v>
      </c>
      <c r="M212" s="3" t="str">
        <f aca="false">Raw_Data!M212</f>
        <v>Medium</v>
      </c>
      <c r="N212" s="3" t="str">
        <f aca="false">Raw_Data!N212</f>
        <v>Mutual Funds</v>
      </c>
      <c r="O212" s="3" t="n">
        <f aca="false">Raw_Data!O212</f>
        <v>3</v>
      </c>
      <c r="P212" s="3" t="n">
        <f aca="false">Raw_Data!P212</f>
        <v>8</v>
      </c>
      <c r="Q212" s="3" t="str">
        <f aca="false">IF(OR(B212="",B212=0),"Unknown",IF(B212&lt;=25,"18-25",IF(B212&lt;=35,"26-35",IF(B212&lt;=45,"36-45","46+"))))</f>
        <v>46+</v>
      </c>
      <c r="R212" s="3" t="n">
        <f aca="false">IF(F212="Below 20,000",10000,IF(F212="20,000-40,000",30000,IF(F212="40,000-60,000",50000,IF(F212="60,000-80,000",70000,IF(F212="Above 80,000",100000,0)))))</f>
        <v>70000</v>
      </c>
      <c r="S212" s="3" t="n">
        <f aca="false">IF(G212="Yes",1,0)</f>
        <v>1</v>
      </c>
    </row>
    <row r="213" customFormat="false" ht="15" hidden="false" customHeight="true" outlineLevel="0" collapsed="false">
      <c r="A213" s="4" t="str">
        <f aca="false">Raw_Data!A213</f>
        <v>R212</v>
      </c>
      <c r="B213" s="4" t="n">
        <f aca="false">Raw_Data!B213</f>
        <v>60</v>
      </c>
      <c r="C213" s="4" t="str">
        <f aca="false">Raw_Data!C213</f>
        <v>Female</v>
      </c>
      <c r="D213" s="4" t="str">
        <f aca="false">Raw_Data!D213</f>
        <v>Mumbai</v>
      </c>
      <c r="E213" s="4" t="str">
        <f aca="false">Raw_Data!E213</f>
        <v>Government Employee</v>
      </c>
      <c r="F213" s="4" t="str">
        <f aca="false">Raw_Data!F213</f>
        <v>Above 80,000</v>
      </c>
      <c r="G213" s="4" t="str">
        <f aca="false">Raw_Data!G213</f>
        <v>No</v>
      </c>
      <c r="H213" s="4" t="n">
        <f aca="false">Raw_Data!H213</f>
        <v>0</v>
      </c>
      <c r="I213" s="4" t="n">
        <f aca="false">Raw_Data!I213</f>
        <v>0</v>
      </c>
      <c r="J213" s="4" t="n">
        <f aca="false">Raw_Data!J213</f>
        <v>0</v>
      </c>
      <c r="K213" s="4" t="n">
        <f aca="false">Raw_Data!K213</f>
        <v>0</v>
      </c>
      <c r="L213" s="4" t="n">
        <f aca="false">Raw_Data!L213</f>
        <v>2</v>
      </c>
      <c r="M213" s="4" t="str">
        <f aca="false">Raw_Data!M213</f>
        <v>Medium</v>
      </c>
      <c r="N213" s="4" t="str">
        <f aca="false">Raw_Data!N213</f>
        <v>Digital Gold</v>
      </c>
      <c r="O213" s="4" t="n">
        <f aca="false">Raw_Data!O213</f>
        <v>3</v>
      </c>
      <c r="P213" s="4" t="n">
        <f aca="false">Raw_Data!P213</f>
        <v>3</v>
      </c>
      <c r="Q213" s="4" t="str">
        <f aca="false">IF(OR(B213="",B213=0),"Unknown",IF(B213&lt;=25,"18-25",IF(B213&lt;=35,"26-35",IF(B213&lt;=45,"36-45","46+"))))</f>
        <v>46+</v>
      </c>
      <c r="R213" s="4" t="n">
        <f aca="false">IF(F213="Below 20,000",10000,IF(F213="20,000-40,000",30000,IF(F213="40,000-60,000",50000,IF(F213="60,000-80,000",70000,IF(F213="Above 80,000",100000,0)))))</f>
        <v>100000</v>
      </c>
      <c r="S213" s="4" t="n">
        <f aca="false">IF(G213="Yes",1,0)</f>
        <v>0</v>
      </c>
    </row>
    <row r="214" customFormat="false" ht="15" hidden="false" customHeight="true" outlineLevel="0" collapsed="false">
      <c r="A214" s="3" t="str">
        <f aca="false">Raw_Data!A214</f>
        <v>R213</v>
      </c>
      <c r="B214" s="3" t="n">
        <f aca="false">Raw_Data!B214</f>
        <v>32</v>
      </c>
      <c r="C214" s="3" t="str">
        <f aca="false">Raw_Data!C214</f>
        <v>Female</v>
      </c>
      <c r="D214" s="3" t="str">
        <f aca="false">Raw_Data!D214</f>
        <v>Pune</v>
      </c>
      <c r="E214" s="3" t="str">
        <f aca="false">Raw_Data!E214</f>
        <v>Government Employee</v>
      </c>
      <c r="F214" s="3" t="str">
        <f aca="false">Raw_Data!F214</f>
        <v>Above 80,000</v>
      </c>
      <c r="G214" s="3" t="str">
        <f aca="false">Raw_Data!G214</f>
        <v>Yes</v>
      </c>
      <c r="H214" s="3" t="str">
        <f aca="false">Raw_Data!H214</f>
        <v>Paytm</v>
      </c>
      <c r="I214" s="3" t="str">
        <f aca="false">Raw_Data!I214</f>
        <v>Rarely</v>
      </c>
      <c r="J214" s="3" t="n">
        <f aca="false">Raw_Data!J214</f>
        <v>27524</v>
      </c>
      <c r="K214" s="3" t="str">
        <f aca="false">Raw_Data!K214</f>
        <v>Savings</v>
      </c>
      <c r="L214" s="3" t="n">
        <f aca="false">Raw_Data!L214</f>
        <v>5</v>
      </c>
      <c r="M214" s="3" t="str">
        <f aca="false">Raw_Data!M214</f>
        <v>High</v>
      </c>
      <c r="N214" s="3" t="str">
        <f aca="false">Raw_Data!N214</f>
        <v>Physical Gold</v>
      </c>
      <c r="O214" s="3" t="n">
        <f aca="false">Raw_Data!O214</f>
        <v>5</v>
      </c>
      <c r="P214" s="3" t="n">
        <f aca="false">Raw_Data!P214</f>
        <v>9</v>
      </c>
      <c r="Q214" s="3" t="str">
        <f aca="false">IF(OR(B214="",B214=0),"Unknown",IF(B214&lt;=25,"18-25",IF(B214&lt;=35,"26-35",IF(B214&lt;=45,"36-45","46+"))))</f>
        <v>26-35</v>
      </c>
      <c r="R214" s="3" t="n">
        <f aca="false">IF(F214="Below 20,000",10000,IF(F214="20,000-40,000",30000,IF(F214="40,000-60,000",50000,IF(F214="60,000-80,000",70000,IF(F214="Above 80,000",100000,0)))))</f>
        <v>100000</v>
      </c>
      <c r="S214" s="3" t="n">
        <f aca="false">IF(G214="Yes",1,0)</f>
        <v>1</v>
      </c>
    </row>
    <row r="215" customFormat="false" ht="15" hidden="false" customHeight="true" outlineLevel="0" collapsed="false">
      <c r="A215" s="4" t="str">
        <f aca="false">Raw_Data!A215</f>
        <v>R214</v>
      </c>
      <c r="B215" s="4" t="n">
        <f aca="false">Raw_Data!B215</f>
        <v>52</v>
      </c>
      <c r="C215" s="4" t="str">
        <f aca="false">Raw_Data!C215</f>
        <v>Male</v>
      </c>
      <c r="D215" s="4" t="str">
        <f aca="false">Raw_Data!D215</f>
        <v>Pune</v>
      </c>
      <c r="E215" s="4" t="str">
        <f aca="false">Raw_Data!E215</f>
        <v>Student</v>
      </c>
      <c r="F215" s="4" t="str">
        <f aca="false">Raw_Data!F215</f>
        <v>60,000-80,000</v>
      </c>
      <c r="G215" s="4" t="str">
        <f aca="false">Raw_Data!G215</f>
        <v>Yes</v>
      </c>
      <c r="H215" s="4" t="str">
        <f aca="false">Raw_Data!H215</f>
        <v>Zerodha</v>
      </c>
      <c r="I215" s="4" t="str">
        <f aca="false">Raw_Data!I215</f>
        <v>Monthly</v>
      </c>
      <c r="J215" s="4" t="n">
        <f aca="false">Raw_Data!J215</f>
        <v>0</v>
      </c>
      <c r="K215" s="4" t="str">
        <f aca="false">Raw_Data!K215</f>
        <v>Savings</v>
      </c>
      <c r="L215" s="4" t="n">
        <f aca="false">Raw_Data!L215</f>
        <v>4</v>
      </c>
      <c r="M215" s="4" t="str">
        <f aca="false">Raw_Data!M215</f>
        <v>Medium</v>
      </c>
      <c r="N215" s="4" t="str">
        <f aca="false">Raw_Data!N215</f>
        <v>Mutual Funds</v>
      </c>
      <c r="O215" s="4" t="n">
        <f aca="false">Raw_Data!O215</f>
        <v>2</v>
      </c>
      <c r="P215" s="4" t="n">
        <f aca="false">Raw_Data!P215</f>
        <v>4</v>
      </c>
      <c r="Q215" s="4" t="str">
        <f aca="false">IF(OR(B215="",B215=0),"Unknown",IF(B215&lt;=25,"18-25",IF(B215&lt;=35,"26-35",IF(B215&lt;=45,"36-45","46+"))))</f>
        <v>46+</v>
      </c>
      <c r="R215" s="4" t="n">
        <f aca="false">IF(F215="Below 20,000",10000,IF(F215="20,000-40,000",30000,IF(F215="40,000-60,000",50000,IF(F215="60,000-80,000",70000,IF(F215="Above 80,000",100000,0)))))</f>
        <v>70000</v>
      </c>
      <c r="S215" s="4" t="n">
        <f aca="false">IF(G215="Yes",1,0)</f>
        <v>1</v>
      </c>
    </row>
    <row r="216" customFormat="false" ht="15" hidden="false" customHeight="true" outlineLevel="0" collapsed="false">
      <c r="A216" s="3" t="str">
        <f aca="false">Raw_Data!A216</f>
        <v>R215</v>
      </c>
      <c r="B216" s="3" t="n">
        <f aca="false">Raw_Data!B216</f>
        <v>28</v>
      </c>
      <c r="C216" s="3" t="str">
        <f aca="false">Raw_Data!C216</f>
        <v>Female</v>
      </c>
      <c r="D216" s="3" t="str">
        <f aca="false">Raw_Data!D216</f>
        <v>Kolkata</v>
      </c>
      <c r="E216" s="3" t="str">
        <f aca="false">Raw_Data!E216</f>
        <v>Freelancer</v>
      </c>
      <c r="F216" s="3" t="n">
        <f aca="false">Raw_Data!F216</f>
        <v>0</v>
      </c>
      <c r="G216" s="3" t="str">
        <f aca="false">Raw_Data!G216</f>
        <v>No</v>
      </c>
      <c r="H216" s="3" t="n">
        <f aca="false">Raw_Data!H216</f>
        <v>0</v>
      </c>
      <c r="I216" s="3" t="n">
        <f aca="false">Raw_Data!I216</f>
        <v>0</v>
      </c>
      <c r="J216" s="3" t="n">
        <f aca="false">Raw_Data!J216</f>
        <v>0</v>
      </c>
      <c r="K216" s="3" t="n">
        <f aca="false">Raw_Data!K216</f>
        <v>0</v>
      </c>
      <c r="L216" s="3" t="n">
        <f aca="false">Raw_Data!L216</f>
        <v>0</v>
      </c>
      <c r="M216" s="3" t="str">
        <f aca="false">Raw_Data!M216</f>
        <v>Low</v>
      </c>
      <c r="N216" s="3" t="str">
        <f aca="false">Raw_Data!N216</f>
        <v>Physical Gold</v>
      </c>
      <c r="O216" s="3" t="n">
        <f aca="false">Raw_Data!O216</f>
        <v>5</v>
      </c>
      <c r="P216" s="3" t="n">
        <f aca="false">Raw_Data!P216</f>
        <v>7</v>
      </c>
      <c r="Q216" s="3" t="str">
        <f aca="false">IF(OR(B216="",B216=0),"Unknown",IF(B216&lt;=25,"18-25",IF(B216&lt;=35,"26-35",IF(B216&lt;=45,"36-45","46+"))))</f>
        <v>26-35</v>
      </c>
      <c r="R216" s="3" t="n">
        <f aca="false">IF(F216="Below 20,000",10000,IF(F216="20,000-40,000",30000,IF(F216="40,000-60,000",50000,IF(F216="60,000-80,000",70000,IF(F216="Above 80,000",100000,0)))))</f>
        <v>0</v>
      </c>
      <c r="S216" s="3" t="n">
        <f aca="false">IF(G216="Yes",1,0)</f>
        <v>0</v>
      </c>
    </row>
    <row r="217" customFormat="false" ht="15" hidden="false" customHeight="true" outlineLevel="0" collapsed="false">
      <c r="A217" s="4" t="str">
        <f aca="false">Raw_Data!A217</f>
        <v>R216</v>
      </c>
      <c r="B217" s="4" t="n">
        <f aca="false">Raw_Data!B217</f>
        <v>43</v>
      </c>
      <c r="C217" s="4" t="str">
        <f aca="false">Raw_Data!C217</f>
        <v>Female</v>
      </c>
      <c r="D217" s="4" t="str">
        <f aca="false">Raw_Data!D217</f>
        <v>Lucknow</v>
      </c>
      <c r="E217" s="4" t="str">
        <f aca="false">Raw_Data!E217</f>
        <v>Salaried</v>
      </c>
      <c r="F217" s="4" t="str">
        <f aca="false">Raw_Data!F217</f>
        <v>40,000-60,000</v>
      </c>
      <c r="G217" s="4" t="str">
        <f aca="false">Raw_Data!G217</f>
        <v>Yes</v>
      </c>
      <c r="H217" s="4" t="str">
        <f aca="false">Raw_Data!H217</f>
        <v>Google Pay</v>
      </c>
      <c r="I217" s="4" t="str">
        <f aca="false">Raw_Data!I217</f>
        <v>Quarterly</v>
      </c>
      <c r="J217" s="4" t="n">
        <f aca="false">Raw_Data!J217</f>
        <v>2250</v>
      </c>
      <c r="K217" s="4" t="str">
        <f aca="false">Raw_Data!K217</f>
        <v>Savings</v>
      </c>
      <c r="L217" s="4" t="n">
        <f aca="false">Raw_Data!L217</f>
        <v>5</v>
      </c>
      <c r="M217" s="4" t="str">
        <f aca="false">Raw_Data!M217</f>
        <v>Low</v>
      </c>
      <c r="N217" s="4" t="str">
        <f aca="false">Raw_Data!N217</f>
        <v>Digital Gold</v>
      </c>
      <c r="O217" s="4" t="n">
        <f aca="false">Raw_Data!O217</f>
        <v>3</v>
      </c>
      <c r="P217" s="4" t="n">
        <f aca="false">Raw_Data!P217</f>
        <v>4</v>
      </c>
      <c r="Q217" s="4" t="str">
        <f aca="false">IF(OR(B217="",B217=0),"Unknown",IF(B217&lt;=25,"18-25",IF(B217&lt;=35,"26-35",IF(B217&lt;=45,"36-45","46+"))))</f>
        <v>36-45</v>
      </c>
      <c r="R217" s="4" t="n">
        <f aca="false">IF(F217="Below 20,000",10000,IF(F217="20,000-40,000",30000,IF(F217="40,000-60,000",50000,IF(F217="60,000-80,000",70000,IF(F217="Above 80,000",100000,0)))))</f>
        <v>50000</v>
      </c>
      <c r="S217" s="4" t="n">
        <f aca="false">IF(G217="Yes",1,0)</f>
        <v>1</v>
      </c>
    </row>
    <row r="218" customFormat="false" ht="15" hidden="false" customHeight="true" outlineLevel="0" collapsed="false">
      <c r="A218" s="3" t="str">
        <f aca="false">Raw_Data!A218</f>
        <v>R217</v>
      </c>
      <c r="B218" s="3" t="n">
        <f aca="false">Raw_Data!B218</f>
        <v>22</v>
      </c>
      <c r="C218" s="3" t="str">
        <f aca="false">Raw_Data!C218</f>
        <v>Male</v>
      </c>
      <c r="D218" s="3" t="str">
        <f aca="false">Raw_Data!D218</f>
        <v>Hyderabad</v>
      </c>
      <c r="E218" s="3" t="str">
        <f aca="false">Raw_Data!E218</f>
        <v>Student</v>
      </c>
      <c r="F218" s="3" t="str">
        <f aca="false">Raw_Data!F218</f>
        <v>40,000-60,000</v>
      </c>
      <c r="G218" s="3" t="str">
        <f aca="false">Raw_Data!G218</f>
        <v>No</v>
      </c>
      <c r="H218" s="3" t="n">
        <f aca="false">Raw_Data!H218</f>
        <v>0</v>
      </c>
      <c r="I218" s="3" t="n">
        <f aca="false">Raw_Data!I218</f>
        <v>0</v>
      </c>
      <c r="J218" s="3" t="n">
        <f aca="false">Raw_Data!J218</f>
        <v>0</v>
      </c>
      <c r="K218" s="3" t="n">
        <f aca="false">Raw_Data!K218</f>
        <v>0</v>
      </c>
      <c r="L218" s="3" t="n">
        <f aca="false">Raw_Data!L218</f>
        <v>1</v>
      </c>
      <c r="M218" s="3" t="str">
        <f aca="false">Raw_Data!M218</f>
        <v>Medium</v>
      </c>
      <c r="N218" s="3" t="str">
        <f aca="false">Raw_Data!N218</f>
        <v>Digital Gold</v>
      </c>
      <c r="O218" s="3" t="n">
        <f aca="false">Raw_Data!O218</f>
        <v>5</v>
      </c>
      <c r="P218" s="3" t="n">
        <f aca="false">Raw_Data!P218</f>
        <v>2</v>
      </c>
      <c r="Q218" s="3" t="str">
        <f aca="false">IF(OR(B218="",B218=0),"Unknown",IF(B218&lt;=25,"18-25",IF(B218&lt;=35,"26-35",IF(B218&lt;=45,"36-45","46+"))))</f>
        <v>18-25</v>
      </c>
      <c r="R218" s="3" t="n">
        <f aca="false">IF(F218="Below 20,000",10000,IF(F218="20,000-40,000",30000,IF(F218="40,000-60,000",50000,IF(F218="60,000-80,000",70000,IF(F218="Above 80,000",100000,0)))))</f>
        <v>50000</v>
      </c>
      <c r="S218" s="3" t="n">
        <f aca="false">IF(G218="Yes",1,0)</f>
        <v>0</v>
      </c>
    </row>
    <row r="219" customFormat="false" ht="15" hidden="false" customHeight="true" outlineLevel="0" collapsed="false">
      <c r="A219" s="4" t="str">
        <f aca="false">Raw_Data!A219</f>
        <v>R218</v>
      </c>
      <c r="B219" s="4" t="n">
        <f aca="false">Raw_Data!B219</f>
        <v>19</v>
      </c>
      <c r="C219" s="4" t="str">
        <f aca="false">Raw_Data!C219</f>
        <v>Male</v>
      </c>
      <c r="D219" s="4" t="str">
        <f aca="false">Raw_Data!D219</f>
        <v>Chennai</v>
      </c>
      <c r="E219" s="4" t="str">
        <f aca="false">Raw_Data!E219</f>
        <v>Freelancer</v>
      </c>
      <c r="F219" s="4" t="str">
        <f aca="false">Raw_Data!F219</f>
        <v>20,000-40,000</v>
      </c>
      <c r="G219" s="4" t="str">
        <f aca="false">Raw_Data!G219</f>
        <v>Yes</v>
      </c>
      <c r="H219" s="4" t="str">
        <f aca="false">Raw_Data!H219</f>
        <v>Others</v>
      </c>
      <c r="I219" s="4" t="str">
        <f aca="false">Raw_Data!I219</f>
        <v>Quarterly</v>
      </c>
      <c r="J219" s="4" t="n">
        <f aca="false">Raw_Data!J219</f>
        <v>1065</v>
      </c>
      <c r="K219" s="4" t="str">
        <f aca="false">Raw_Data!K219</f>
        <v>Gifting</v>
      </c>
      <c r="L219" s="4" t="n">
        <f aca="false">Raw_Data!L219</f>
        <v>2</v>
      </c>
      <c r="M219" s="4" t="str">
        <f aca="false">Raw_Data!M219</f>
        <v>High</v>
      </c>
      <c r="N219" s="4" t="str">
        <f aca="false">Raw_Data!N219</f>
        <v>Physical Gold</v>
      </c>
      <c r="O219" s="4" t="n">
        <f aca="false">Raw_Data!O219</f>
        <v>5</v>
      </c>
      <c r="P219" s="4" t="n">
        <f aca="false">Raw_Data!P219</f>
        <v>7</v>
      </c>
      <c r="Q219" s="4" t="str">
        <f aca="false">IF(OR(B219="",B219=0),"Unknown",IF(B219&lt;=25,"18-25",IF(B219&lt;=35,"26-35",IF(B219&lt;=45,"36-45","46+"))))</f>
        <v>18-25</v>
      </c>
      <c r="R219" s="4" t="n">
        <f aca="false">IF(F219="Below 20,000",10000,IF(F219="20,000-40,000",30000,IF(F219="40,000-60,000",50000,IF(F219="60,000-80,000",70000,IF(F219="Above 80,000",100000,0)))))</f>
        <v>30000</v>
      </c>
      <c r="S219" s="4" t="n">
        <f aca="false">IF(G219="Yes",1,0)</f>
        <v>1</v>
      </c>
    </row>
    <row r="220" customFormat="false" ht="15" hidden="false" customHeight="true" outlineLevel="0" collapsed="false">
      <c r="A220" s="3" t="str">
        <f aca="false">Raw_Data!A220</f>
        <v>R219</v>
      </c>
      <c r="B220" s="3" t="n">
        <f aca="false">Raw_Data!B220</f>
        <v>40</v>
      </c>
      <c r="C220" s="3" t="str">
        <f aca="false">Raw_Data!C220</f>
        <v>Male</v>
      </c>
      <c r="D220" s="3" t="str">
        <f aca="false">Raw_Data!D220</f>
        <v>Hyderabad</v>
      </c>
      <c r="E220" s="3" t="str">
        <f aca="false">Raw_Data!E220</f>
        <v>Homemaker</v>
      </c>
      <c r="F220" s="3" t="str">
        <f aca="false">Raw_Data!F220</f>
        <v>40,000-60,000</v>
      </c>
      <c r="G220" s="3" t="str">
        <f aca="false">Raw_Data!G220</f>
        <v>No</v>
      </c>
      <c r="H220" s="3" t="n">
        <f aca="false">Raw_Data!H220</f>
        <v>0</v>
      </c>
      <c r="I220" s="3" t="n">
        <f aca="false">Raw_Data!I220</f>
        <v>0</v>
      </c>
      <c r="J220" s="3" t="n">
        <f aca="false">Raw_Data!J220</f>
        <v>0</v>
      </c>
      <c r="K220" s="3" t="n">
        <f aca="false">Raw_Data!K220</f>
        <v>0</v>
      </c>
      <c r="L220" s="3" t="n">
        <f aca="false">Raw_Data!L220</f>
        <v>3</v>
      </c>
      <c r="M220" s="3" t="str">
        <f aca="false">Raw_Data!M220</f>
        <v>High</v>
      </c>
      <c r="N220" s="3" t="str">
        <f aca="false">Raw_Data!N220</f>
        <v>Fixed Deposit</v>
      </c>
      <c r="O220" s="3" t="n">
        <f aca="false">Raw_Data!O220</f>
        <v>2</v>
      </c>
      <c r="P220" s="3" t="n">
        <f aca="false">Raw_Data!P220</f>
        <v>10</v>
      </c>
      <c r="Q220" s="3" t="str">
        <f aca="false">IF(OR(B220="",B220=0),"Unknown",IF(B220&lt;=25,"18-25",IF(B220&lt;=35,"26-35",IF(B220&lt;=45,"36-45","46+"))))</f>
        <v>36-45</v>
      </c>
      <c r="R220" s="3" t="n">
        <f aca="false">IF(F220="Below 20,000",10000,IF(F220="20,000-40,000",30000,IF(F220="40,000-60,000",50000,IF(F220="60,000-80,000",70000,IF(F220="Above 80,000",100000,0)))))</f>
        <v>50000</v>
      </c>
      <c r="S220" s="3" t="n">
        <f aca="false">IF(G220="Yes",1,0)</f>
        <v>0</v>
      </c>
    </row>
    <row r="221" customFormat="false" ht="15" hidden="false" customHeight="true" outlineLevel="0" collapsed="false">
      <c r="A221" s="4" t="str">
        <f aca="false">Raw_Data!A221</f>
        <v>R220</v>
      </c>
      <c r="B221" s="4" t="n">
        <f aca="false">Raw_Data!B221</f>
        <v>51</v>
      </c>
      <c r="C221" s="4" t="str">
        <f aca="false">Raw_Data!C221</f>
        <v>Female</v>
      </c>
      <c r="D221" s="4" t="str">
        <f aca="false">Raw_Data!D221</f>
        <v>Ahmedabad</v>
      </c>
      <c r="E221" s="4" t="str">
        <f aca="false">Raw_Data!E221</f>
        <v>Student</v>
      </c>
      <c r="F221" s="4" t="str">
        <f aca="false">Raw_Data!F221</f>
        <v>Below 20,000</v>
      </c>
      <c r="G221" s="4" t="str">
        <f aca="false">Raw_Data!G221</f>
        <v>Yes</v>
      </c>
      <c r="H221" s="4" t="str">
        <f aca="false">Raw_Data!H221</f>
        <v>Others</v>
      </c>
      <c r="I221" s="4" t="str">
        <f aca="false">Raw_Data!I221</f>
        <v>Rarely</v>
      </c>
      <c r="J221" s="4" t="n">
        <f aca="false">Raw_Data!J221</f>
        <v>384</v>
      </c>
      <c r="K221" s="4" t="str">
        <f aca="false">Raw_Data!K221</f>
        <v>Savings</v>
      </c>
      <c r="L221" s="4" t="n">
        <f aca="false">Raw_Data!L221</f>
        <v>4</v>
      </c>
      <c r="M221" s="4" t="str">
        <f aca="false">Raw_Data!M221</f>
        <v>Low</v>
      </c>
      <c r="N221" s="4" t="str">
        <f aca="false">Raw_Data!N221</f>
        <v>Physical Gold</v>
      </c>
      <c r="O221" s="4" t="n">
        <f aca="false">Raw_Data!O221</f>
        <v>2</v>
      </c>
      <c r="P221" s="4" t="n">
        <f aca="false">Raw_Data!P221</f>
        <v>10</v>
      </c>
      <c r="Q221" s="4" t="str">
        <f aca="false">IF(OR(B221="",B221=0),"Unknown",IF(B221&lt;=25,"18-25",IF(B221&lt;=35,"26-35",IF(B221&lt;=45,"36-45","46+"))))</f>
        <v>46+</v>
      </c>
      <c r="R221" s="4" t="n">
        <f aca="false">IF(F221="Below 20,000",10000,IF(F221="20,000-40,000",30000,IF(F221="40,000-60,000",50000,IF(F221="60,000-80,000",70000,IF(F221="Above 80,000",100000,0)))))</f>
        <v>10000</v>
      </c>
      <c r="S221" s="4" t="n">
        <f aca="false">IF(G221="Yes",1,0)</f>
        <v>1</v>
      </c>
    </row>
    <row r="222" customFormat="false" ht="15" hidden="false" customHeight="true" outlineLevel="0" collapsed="false">
      <c r="A222" s="3" t="str">
        <f aca="false">Raw_Data!A222</f>
        <v>R221</v>
      </c>
      <c r="B222" s="3" t="n">
        <f aca="false">Raw_Data!B222</f>
        <v>34</v>
      </c>
      <c r="C222" s="3" t="str">
        <f aca="false">Raw_Data!C222</f>
        <v>Male</v>
      </c>
      <c r="D222" s="3" t="str">
        <f aca="false">Raw_Data!D222</f>
        <v>Delhi</v>
      </c>
      <c r="E222" s="3" t="str">
        <f aca="false">Raw_Data!E222</f>
        <v>Government Employee</v>
      </c>
      <c r="F222" s="3" t="str">
        <f aca="false">Raw_Data!F222</f>
        <v>Above 80,000</v>
      </c>
      <c r="G222" s="3" t="str">
        <f aca="false">Raw_Data!G222</f>
        <v>Yes</v>
      </c>
      <c r="H222" s="3" t="str">
        <f aca="false">Raw_Data!H222</f>
        <v>Others</v>
      </c>
      <c r="I222" s="3" t="str">
        <f aca="false">Raw_Data!I222</f>
        <v>Daily</v>
      </c>
      <c r="J222" s="3" t="n">
        <f aca="false">Raw_Data!J222</f>
        <v>9024</v>
      </c>
      <c r="K222" s="3" t="str">
        <f aca="false">Raw_Data!K222</f>
        <v>Investment</v>
      </c>
      <c r="L222" s="3" t="n">
        <f aca="false">Raw_Data!L222</f>
        <v>3</v>
      </c>
      <c r="M222" s="3" t="str">
        <f aca="false">Raw_Data!M222</f>
        <v>Low</v>
      </c>
      <c r="N222" s="3" t="str">
        <f aca="false">Raw_Data!N222</f>
        <v>Digital Gold</v>
      </c>
      <c r="O222" s="3" t="n">
        <f aca="false">Raw_Data!O222</f>
        <v>3</v>
      </c>
      <c r="P222" s="3" t="n">
        <f aca="false">Raw_Data!P222</f>
        <v>3</v>
      </c>
      <c r="Q222" s="3" t="str">
        <f aca="false">IF(OR(B222="",B222=0),"Unknown",IF(B222&lt;=25,"18-25",IF(B222&lt;=35,"26-35",IF(B222&lt;=45,"36-45","46+"))))</f>
        <v>26-35</v>
      </c>
      <c r="R222" s="3" t="n">
        <f aca="false">IF(F222="Below 20,000",10000,IF(F222="20,000-40,000",30000,IF(F222="40,000-60,000",50000,IF(F222="60,000-80,000",70000,IF(F222="Above 80,000",100000,0)))))</f>
        <v>100000</v>
      </c>
      <c r="S222" s="3" t="n">
        <f aca="false">IF(G222="Yes",1,0)</f>
        <v>1</v>
      </c>
    </row>
    <row r="223" customFormat="false" ht="15" hidden="false" customHeight="true" outlineLevel="0" collapsed="false">
      <c r="A223" s="4" t="str">
        <f aca="false">Raw_Data!A223</f>
        <v>R222</v>
      </c>
      <c r="B223" s="4" t="n">
        <f aca="false">Raw_Data!B223</f>
        <v>59</v>
      </c>
      <c r="C223" s="4" t="str">
        <f aca="false">Raw_Data!C223</f>
        <v>Male</v>
      </c>
      <c r="D223" s="4" t="str">
        <f aca="false">Raw_Data!D223</f>
        <v>Kolkata</v>
      </c>
      <c r="E223" s="4" t="str">
        <f aca="false">Raw_Data!E223</f>
        <v>Government Employee</v>
      </c>
      <c r="F223" s="4" t="str">
        <f aca="false">Raw_Data!F223</f>
        <v>20,000-40,000</v>
      </c>
      <c r="G223" s="4" t="str">
        <f aca="false">Raw_Data!G223</f>
        <v>Yes</v>
      </c>
      <c r="H223" s="4" t="str">
        <f aca="false">Raw_Data!H223</f>
        <v>PhonePe</v>
      </c>
      <c r="I223" s="4" t="n">
        <f aca="false">Raw_Data!I223</f>
        <v>0</v>
      </c>
      <c r="J223" s="4" t="n">
        <f aca="false">Raw_Data!J223</f>
        <v>2651</v>
      </c>
      <c r="K223" s="4" t="str">
        <f aca="false">Raw_Data!K223</f>
        <v>Investment</v>
      </c>
      <c r="L223" s="4" t="n">
        <f aca="false">Raw_Data!L223</f>
        <v>1</v>
      </c>
      <c r="M223" s="4" t="str">
        <f aca="false">Raw_Data!M223</f>
        <v>Low</v>
      </c>
      <c r="N223" s="4" t="str">
        <f aca="false">Raw_Data!N223</f>
        <v>Digital Gold</v>
      </c>
      <c r="O223" s="4" t="n">
        <f aca="false">Raw_Data!O223</f>
        <v>3</v>
      </c>
      <c r="P223" s="4" t="n">
        <f aca="false">Raw_Data!P223</f>
        <v>6</v>
      </c>
      <c r="Q223" s="4" t="str">
        <f aca="false">IF(OR(B223="",B223=0),"Unknown",IF(B223&lt;=25,"18-25",IF(B223&lt;=35,"26-35",IF(B223&lt;=45,"36-45","46+"))))</f>
        <v>46+</v>
      </c>
      <c r="R223" s="4" t="n">
        <f aca="false">IF(F223="Below 20,000",10000,IF(F223="20,000-40,000",30000,IF(F223="40,000-60,000",50000,IF(F223="60,000-80,000",70000,IF(F223="Above 80,000",100000,0)))))</f>
        <v>30000</v>
      </c>
      <c r="S223" s="4" t="n">
        <f aca="false">IF(G223="Yes",1,0)</f>
        <v>1</v>
      </c>
    </row>
    <row r="224" customFormat="false" ht="15" hidden="false" customHeight="true" outlineLevel="0" collapsed="false">
      <c r="A224" s="3" t="str">
        <f aca="false">Raw_Data!A224</f>
        <v>R223</v>
      </c>
      <c r="B224" s="3" t="n">
        <f aca="false">Raw_Data!B224</f>
        <v>21</v>
      </c>
      <c r="C224" s="3" t="str">
        <f aca="false">Raw_Data!C224</f>
        <v>Male</v>
      </c>
      <c r="D224" s="3" t="str">
        <f aca="false">Raw_Data!D224</f>
        <v>Chennai</v>
      </c>
      <c r="E224" s="3" t="str">
        <f aca="false">Raw_Data!E224</f>
        <v>Homemaker</v>
      </c>
      <c r="F224" s="3" t="str">
        <f aca="false">Raw_Data!F224</f>
        <v>40,000-60,000</v>
      </c>
      <c r="G224" s="3" t="str">
        <f aca="false">Raw_Data!G224</f>
        <v>Yes</v>
      </c>
      <c r="H224" s="3" t="str">
        <f aca="false">Raw_Data!H224</f>
        <v>PhonePe</v>
      </c>
      <c r="I224" s="3" t="str">
        <f aca="false">Raw_Data!I224</f>
        <v>Daily</v>
      </c>
      <c r="J224" s="3" t="n">
        <f aca="false">Raw_Data!J224</f>
        <v>6234</v>
      </c>
      <c r="K224" s="3" t="str">
        <f aca="false">Raw_Data!K224</f>
        <v>Savings</v>
      </c>
      <c r="L224" s="3" t="n">
        <f aca="false">Raw_Data!L224</f>
        <v>2</v>
      </c>
      <c r="M224" s="3" t="str">
        <f aca="false">Raw_Data!M224</f>
        <v>Low</v>
      </c>
      <c r="N224" s="3" t="str">
        <f aca="false">Raw_Data!N224</f>
        <v>Digital Gold</v>
      </c>
      <c r="O224" s="3" t="n">
        <f aca="false">Raw_Data!O224</f>
        <v>4</v>
      </c>
      <c r="P224" s="3" t="n">
        <f aca="false">Raw_Data!P224</f>
        <v>4</v>
      </c>
      <c r="Q224" s="3" t="str">
        <f aca="false">IF(OR(B224="",B224=0),"Unknown",IF(B224&lt;=25,"18-25",IF(B224&lt;=35,"26-35",IF(B224&lt;=45,"36-45","46+"))))</f>
        <v>18-25</v>
      </c>
      <c r="R224" s="3" t="n">
        <f aca="false">IF(F224="Below 20,000",10000,IF(F224="20,000-40,000",30000,IF(F224="40,000-60,000",50000,IF(F224="60,000-80,000",70000,IF(F224="Above 80,000",100000,0)))))</f>
        <v>50000</v>
      </c>
      <c r="S224" s="3" t="n">
        <f aca="false">IF(G224="Yes",1,0)</f>
        <v>1</v>
      </c>
    </row>
    <row r="225" customFormat="false" ht="15" hidden="false" customHeight="true" outlineLevel="0" collapsed="false">
      <c r="A225" s="4" t="str">
        <f aca="false">Raw_Data!A225</f>
        <v>R224</v>
      </c>
      <c r="B225" s="4" t="n">
        <f aca="false">Raw_Data!B225</f>
        <v>58</v>
      </c>
      <c r="C225" s="4" t="str">
        <f aca="false">Raw_Data!C225</f>
        <v>Female</v>
      </c>
      <c r="D225" s="4" t="str">
        <f aca="false">Raw_Data!D225</f>
        <v>Pune</v>
      </c>
      <c r="E225" s="4" t="str">
        <f aca="false">Raw_Data!E225</f>
        <v>Freelancer</v>
      </c>
      <c r="F225" s="4" t="str">
        <f aca="false">Raw_Data!F225</f>
        <v>60,000-80,000</v>
      </c>
      <c r="G225" s="4" t="str">
        <f aca="false">Raw_Data!G225</f>
        <v>Yes</v>
      </c>
      <c r="H225" s="4" t="str">
        <f aca="false">Raw_Data!H225</f>
        <v>Zerodha</v>
      </c>
      <c r="I225" s="4" t="str">
        <f aca="false">Raw_Data!I225</f>
        <v>Rarely</v>
      </c>
      <c r="J225" s="4" t="n">
        <f aca="false">Raw_Data!J225</f>
        <v>10354</v>
      </c>
      <c r="K225" s="4" t="str">
        <f aca="false">Raw_Data!K225</f>
        <v>Savings</v>
      </c>
      <c r="L225" s="4" t="n">
        <f aca="false">Raw_Data!L225</f>
        <v>5</v>
      </c>
      <c r="M225" s="4" t="str">
        <f aca="false">Raw_Data!M225</f>
        <v>Medium</v>
      </c>
      <c r="N225" s="4" t="str">
        <f aca="false">Raw_Data!N225</f>
        <v>Digital Gold</v>
      </c>
      <c r="O225" s="4" t="n">
        <f aca="false">Raw_Data!O225</f>
        <v>3</v>
      </c>
      <c r="P225" s="4" t="n">
        <f aca="false">Raw_Data!P225</f>
        <v>3</v>
      </c>
      <c r="Q225" s="4" t="str">
        <f aca="false">IF(OR(B225="",B225=0),"Unknown",IF(B225&lt;=25,"18-25",IF(B225&lt;=35,"26-35",IF(B225&lt;=45,"36-45","46+"))))</f>
        <v>46+</v>
      </c>
      <c r="R225" s="4" t="n">
        <f aca="false">IF(F225="Below 20,000",10000,IF(F225="20,000-40,000",30000,IF(F225="40,000-60,000",50000,IF(F225="60,000-80,000",70000,IF(F225="Above 80,000",100000,0)))))</f>
        <v>70000</v>
      </c>
      <c r="S225" s="4" t="n">
        <f aca="false">IF(G225="Yes",1,0)</f>
        <v>1</v>
      </c>
    </row>
    <row r="226" customFormat="false" ht="15" hidden="false" customHeight="true" outlineLevel="0" collapsed="false">
      <c r="A226" s="3" t="str">
        <f aca="false">Raw_Data!A226</f>
        <v>R225</v>
      </c>
      <c r="B226" s="3" t="n">
        <f aca="false">Raw_Data!B226</f>
        <v>0</v>
      </c>
      <c r="C226" s="3" t="str">
        <f aca="false">Raw_Data!C226</f>
        <v>Male</v>
      </c>
      <c r="D226" s="3" t="str">
        <f aca="false">Raw_Data!D226</f>
        <v>Chennai</v>
      </c>
      <c r="E226" s="3" t="str">
        <f aca="false">Raw_Data!E226</f>
        <v>Freelancer</v>
      </c>
      <c r="F226" s="3" t="str">
        <f aca="false">Raw_Data!F226</f>
        <v>20,000-40,000</v>
      </c>
      <c r="G226" s="3" t="str">
        <f aca="false">Raw_Data!G226</f>
        <v>Yes</v>
      </c>
      <c r="H226" s="3" t="str">
        <f aca="false">Raw_Data!H226</f>
        <v>Google Pay</v>
      </c>
      <c r="I226" s="3" t="str">
        <f aca="false">Raw_Data!I226</f>
        <v>Quarterly</v>
      </c>
      <c r="J226" s="3" t="n">
        <f aca="false">Raw_Data!J226</f>
        <v>1326</v>
      </c>
      <c r="K226" s="3" t="str">
        <f aca="false">Raw_Data!K226</f>
        <v>Gifting</v>
      </c>
      <c r="L226" s="3" t="n">
        <f aca="false">Raw_Data!L226</f>
        <v>1</v>
      </c>
      <c r="M226" s="3" t="str">
        <f aca="false">Raw_Data!M226</f>
        <v>Low</v>
      </c>
      <c r="N226" s="3" t="str">
        <f aca="false">Raw_Data!N226</f>
        <v>Mutual Funds</v>
      </c>
      <c r="O226" s="3" t="n">
        <f aca="false">Raw_Data!O226</f>
        <v>3</v>
      </c>
      <c r="P226" s="3" t="n">
        <f aca="false">Raw_Data!P226</f>
        <v>3</v>
      </c>
      <c r="Q226" s="3" t="str">
        <f aca="false">IF(OR(B226="",B226=0),"Unknown",IF(B226&lt;=25,"18-25",IF(B226&lt;=35,"26-35",IF(B226&lt;=45,"36-45","46+"))))</f>
        <v>Unknown</v>
      </c>
      <c r="R226" s="3" t="n">
        <f aca="false">IF(F226="Below 20,000",10000,IF(F226="20,000-40,000",30000,IF(F226="40,000-60,000",50000,IF(F226="60,000-80,000",70000,IF(F226="Above 80,000",100000,0)))))</f>
        <v>30000</v>
      </c>
      <c r="S226" s="3" t="n">
        <f aca="false">IF(G226="Yes",1,0)</f>
        <v>1</v>
      </c>
    </row>
    <row r="227" customFormat="false" ht="15" hidden="false" customHeight="true" outlineLevel="0" collapsed="false">
      <c r="A227" s="4" t="str">
        <f aca="false">Raw_Data!A227</f>
        <v>R226</v>
      </c>
      <c r="B227" s="4" t="n">
        <f aca="false">Raw_Data!B227</f>
        <v>27</v>
      </c>
      <c r="C227" s="4" t="str">
        <f aca="false">Raw_Data!C227</f>
        <v>Female</v>
      </c>
      <c r="D227" s="4" t="str">
        <f aca="false">Raw_Data!D227</f>
        <v>Lucknow</v>
      </c>
      <c r="E227" s="4" t="str">
        <f aca="false">Raw_Data!E227</f>
        <v>Salaried</v>
      </c>
      <c r="F227" s="4" t="str">
        <f aca="false">Raw_Data!F227</f>
        <v>20,000-40,000</v>
      </c>
      <c r="G227" s="4" t="str">
        <f aca="false">Raw_Data!G227</f>
        <v>Yes</v>
      </c>
      <c r="H227" s="4" t="str">
        <f aca="false">Raw_Data!H227</f>
        <v>Zerodha</v>
      </c>
      <c r="I227" s="4" t="str">
        <f aca="false">Raw_Data!I227</f>
        <v>Weekly</v>
      </c>
      <c r="J227" s="4" t="n">
        <f aca="false">Raw_Data!J227</f>
        <v>1446</v>
      </c>
      <c r="K227" s="4" t="str">
        <f aca="false">Raw_Data!K227</f>
        <v>Savings</v>
      </c>
      <c r="L227" s="4" t="n">
        <f aca="false">Raw_Data!L227</f>
        <v>1</v>
      </c>
      <c r="M227" s="4" t="str">
        <f aca="false">Raw_Data!M227</f>
        <v>High</v>
      </c>
      <c r="N227" s="4" t="str">
        <f aca="false">Raw_Data!N227</f>
        <v>Fixed Deposit</v>
      </c>
      <c r="O227" s="4" t="n">
        <f aca="false">Raw_Data!O227</f>
        <v>5</v>
      </c>
      <c r="P227" s="4" t="n">
        <f aca="false">Raw_Data!P227</f>
        <v>4</v>
      </c>
      <c r="Q227" s="4" t="str">
        <f aca="false">IF(OR(B227="",B227=0),"Unknown",IF(B227&lt;=25,"18-25",IF(B227&lt;=35,"26-35",IF(B227&lt;=45,"36-45","46+"))))</f>
        <v>26-35</v>
      </c>
      <c r="R227" s="4" t="n">
        <f aca="false">IF(F227="Below 20,000",10000,IF(F227="20,000-40,000",30000,IF(F227="40,000-60,000",50000,IF(F227="60,000-80,000",70000,IF(F227="Above 80,000",100000,0)))))</f>
        <v>30000</v>
      </c>
      <c r="S227" s="4" t="n">
        <f aca="false">IF(G227="Yes",1,0)</f>
        <v>1</v>
      </c>
    </row>
    <row r="228" customFormat="false" ht="15" hidden="false" customHeight="true" outlineLevel="0" collapsed="false">
      <c r="A228" s="3" t="str">
        <f aca="false">Raw_Data!A228</f>
        <v>R227</v>
      </c>
      <c r="B228" s="3" t="n">
        <f aca="false">Raw_Data!B228</f>
        <v>58</v>
      </c>
      <c r="C228" s="3" t="str">
        <f aca="false">Raw_Data!C228</f>
        <v>Male</v>
      </c>
      <c r="D228" s="3" t="str">
        <f aca="false">Raw_Data!D228</f>
        <v>Hyderabad</v>
      </c>
      <c r="E228" s="3" t="str">
        <f aca="false">Raw_Data!E228</f>
        <v>Homemaker</v>
      </c>
      <c r="F228" s="3" t="str">
        <f aca="false">Raw_Data!F228</f>
        <v>Below 20,000</v>
      </c>
      <c r="G228" s="3" t="str">
        <f aca="false">Raw_Data!G228</f>
        <v>No</v>
      </c>
      <c r="H228" s="3" t="n">
        <f aca="false">Raw_Data!H228</f>
        <v>0</v>
      </c>
      <c r="I228" s="3" t="n">
        <f aca="false">Raw_Data!I228</f>
        <v>0</v>
      </c>
      <c r="J228" s="3" t="n">
        <f aca="false">Raw_Data!J228</f>
        <v>0</v>
      </c>
      <c r="K228" s="3" t="n">
        <f aca="false">Raw_Data!K228</f>
        <v>0</v>
      </c>
      <c r="L228" s="3" t="n">
        <f aca="false">Raw_Data!L228</f>
        <v>3</v>
      </c>
      <c r="M228" s="3" t="str">
        <f aca="false">Raw_Data!M228</f>
        <v>Medium</v>
      </c>
      <c r="N228" s="3" t="str">
        <f aca="false">Raw_Data!N228</f>
        <v>Digital Gold</v>
      </c>
      <c r="O228" s="3" t="n">
        <f aca="false">Raw_Data!O228</f>
        <v>2</v>
      </c>
      <c r="P228" s="3" t="n">
        <f aca="false">Raw_Data!P228</f>
        <v>1</v>
      </c>
      <c r="Q228" s="3" t="str">
        <f aca="false">IF(OR(B228="",B228=0),"Unknown",IF(B228&lt;=25,"18-25",IF(B228&lt;=35,"26-35",IF(B228&lt;=45,"36-45","46+"))))</f>
        <v>46+</v>
      </c>
      <c r="R228" s="3" t="n">
        <f aca="false">IF(F228="Below 20,000",10000,IF(F228="20,000-40,000",30000,IF(F228="40,000-60,000",50000,IF(F228="60,000-80,000",70000,IF(F228="Above 80,000",100000,0)))))</f>
        <v>10000</v>
      </c>
      <c r="S228" s="3" t="n">
        <f aca="false">IF(G228="Yes",1,0)</f>
        <v>0</v>
      </c>
    </row>
    <row r="229" customFormat="false" ht="15" hidden="false" customHeight="true" outlineLevel="0" collapsed="false">
      <c r="A229" s="4" t="str">
        <f aca="false">Raw_Data!A229</f>
        <v>R228</v>
      </c>
      <c r="B229" s="4" t="n">
        <f aca="false">Raw_Data!B229</f>
        <v>25</v>
      </c>
      <c r="C229" s="4" t="str">
        <f aca="false">Raw_Data!C229</f>
        <v>Male</v>
      </c>
      <c r="D229" s="4" t="str">
        <f aca="false">Raw_Data!D229</f>
        <v>Pune</v>
      </c>
      <c r="E229" s="4" t="str">
        <f aca="false">Raw_Data!E229</f>
        <v>Salaried</v>
      </c>
      <c r="F229" s="4" t="str">
        <f aca="false">Raw_Data!F229</f>
        <v>60,000-80,000</v>
      </c>
      <c r="G229" s="4" t="str">
        <f aca="false">Raw_Data!G229</f>
        <v>Yes</v>
      </c>
      <c r="H229" s="4" t="str">
        <f aca="false">Raw_Data!H229</f>
        <v>PhonePe</v>
      </c>
      <c r="I229" s="4" t="str">
        <f aca="false">Raw_Data!I229</f>
        <v>Rarely</v>
      </c>
      <c r="J229" s="4" t="n">
        <f aca="false">Raw_Data!J229</f>
        <v>8925</v>
      </c>
      <c r="K229" s="4" t="str">
        <f aca="false">Raw_Data!K229</f>
        <v>Savings</v>
      </c>
      <c r="L229" s="4" t="n">
        <f aca="false">Raw_Data!L229</f>
        <v>2</v>
      </c>
      <c r="M229" s="4" t="str">
        <f aca="false">Raw_Data!M229</f>
        <v>High</v>
      </c>
      <c r="N229" s="4" t="str">
        <f aca="false">Raw_Data!N229</f>
        <v>Digital Gold</v>
      </c>
      <c r="O229" s="4" t="n">
        <f aca="false">Raw_Data!O229</f>
        <v>1</v>
      </c>
      <c r="P229" s="4" t="n">
        <f aca="false">Raw_Data!P229</f>
        <v>4</v>
      </c>
      <c r="Q229" s="4" t="str">
        <f aca="false">IF(OR(B229="",B229=0),"Unknown",IF(B229&lt;=25,"18-25",IF(B229&lt;=35,"26-35",IF(B229&lt;=45,"36-45","46+"))))</f>
        <v>18-25</v>
      </c>
      <c r="R229" s="4" t="n">
        <f aca="false">IF(F229="Below 20,000",10000,IF(F229="20,000-40,000",30000,IF(F229="40,000-60,000",50000,IF(F229="60,000-80,000",70000,IF(F229="Above 80,000",100000,0)))))</f>
        <v>70000</v>
      </c>
      <c r="S229" s="4" t="n">
        <f aca="false">IF(G229="Yes",1,0)</f>
        <v>1</v>
      </c>
    </row>
    <row r="230" customFormat="false" ht="15" hidden="false" customHeight="true" outlineLevel="0" collapsed="false">
      <c r="A230" s="3" t="str">
        <f aca="false">Raw_Data!A230</f>
        <v>R229</v>
      </c>
      <c r="B230" s="3" t="n">
        <f aca="false">Raw_Data!B230</f>
        <v>59</v>
      </c>
      <c r="C230" s="3" t="str">
        <f aca="false">Raw_Data!C230</f>
        <v>Female</v>
      </c>
      <c r="D230" s="3" t="str">
        <f aca="false">Raw_Data!D230</f>
        <v>Bangalore</v>
      </c>
      <c r="E230" s="3" t="str">
        <f aca="false">Raw_Data!E230</f>
        <v>Salaried</v>
      </c>
      <c r="F230" s="3" t="str">
        <f aca="false">Raw_Data!F230</f>
        <v>Below 20,000</v>
      </c>
      <c r="G230" s="3" t="str">
        <f aca="false">Raw_Data!G230</f>
        <v>Yes</v>
      </c>
      <c r="H230" s="3" t="str">
        <f aca="false">Raw_Data!H230</f>
        <v>Groww</v>
      </c>
      <c r="I230" s="3" t="str">
        <f aca="false">Raw_Data!I230</f>
        <v>Daily</v>
      </c>
      <c r="J230" s="3" t="n">
        <f aca="false">Raw_Data!J230</f>
        <v>843</v>
      </c>
      <c r="K230" s="3" t="str">
        <f aca="false">Raw_Data!K230</f>
        <v>Gifting</v>
      </c>
      <c r="L230" s="3" t="n">
        <f aca="false">Raw_Data!L230</f>
        <v>2</v>
      </c>
      <c r="M230" s="3" t="str">
        <f aca="false">Raw_Data!M230</f>
        <v>Low</v>
      </c>
      <c r="N230" s="3" t="str">
        <f aca="false">Raw_Data!N230</f>
        <v>Mutual Funds</v>
      </c>
      <c r="O230" s="3" t="n">
        <f aca="false">Raw_Data!O230</f>
        <v>3</v>
      </c>
      <c r="P230" s="3" t="n">
        <f aca="false">Raw_Data!P230</f>
        <v>7</v>
      </c>
      <c r="Q230" s="3" t="str">
        <f aca="false">IF(OR(B230="",B230=0),"Unknown",IF(B230&lt;=25,"18-25",IF(B230&lt;=35,"26-35",IF(B230&lt;=45,"36-45","46+"))))</f>
        <v>46+</v>
      </c>
      <c r="R230" s="3" t="n">
        <f aca="false">IF(F230="Below 20,000",10000,IF(F230="20,000-40,000",30000,IF(F230="40,000-60,000",50000,IF(F230="60,000-80,000",70000,IF(F230="Above 80,000",100000,0)))))</f>
        <v>10000</v>
      </c>
      <c r="S230" s="3" t="n">
        <f aca="false">IF(G230="Yes",1,0)</f>
        <v>1</v>
      </c>
    </row>
    <row r="231" customFormat="false" ht="15" hidden="false" customHeight="true" outlineLevel="0" collapsed="false">
      <c r="A231" s="4" t="str">
        <f aca="false">Raw_Data!A231</f>
        <v>R230</v>
      </c>
      <c r="B231" s="4" t="n">
        <f aca="false">Raw_Data!B231</f>
        <v>37</v>
      </c>
      <c r="C231" s="4" t="str">
        <f aca="false">Raw_Data!C231</f>
        <v>Female</v>
      </c>
      <c r="D231" s="4" t="str">
        <f aca="false">Raw_Data!D231</f>
        <v>Jaipur</v>
      </c>
      <c r="E231" s="4" t="str">
        <f aca="false">Raw_Data!E231</f>
        <v>Freelancer</v>
      </c>
      <c r="F231" s="4" t="str">
        <f aca="false">Raw_Data!F231</f>
        <v>Below 20,000</v>
      </c>
      <c r="G231" s="4" t="str">
        <f aca="false">Raw_Data!G231</f>
        <v>Yes</v>
      </c>
      <c r="H231" s="4" t="str">
        <f aca="false">Raw_Data!H231</f>
        <v>Paytm</v>
      </c>
      <c r="I231" s="4" t="str">
        <f aca="false">Raw_Data!I231</f>
        <v>Quarterly</v>
      </c>
      <c r="J231" s="4" t="n">
        <f aca="false">Raw_Data!J231</f>
        <v>753</v>
      </c>
      <c r="K231" s="4" t="str">
        <f aca="false">Raw_Data!K231</f>
        <v>Investment</v>
      </c>
      <c r="L231" s="4" t="n">
        <f aca="false">Raw_Data!L231</f>
        <v>2</v>
      </c>
      <c r="M231" s="4" t="str">
        <f aca="false">Raw_Data!M231</f>
        <v>High</v>
      </c>
      <c r="N231" s="4" t="str">
        <f aca="false">Raw_Data!N231</f>
        <v>Mutual Funds</v>
      </c>
      <c r="O231" s="4" t="n">
        <f aca="false">Raw_Data!O231</f>
        <v>1</v>
      </c>
      <c r="P231" s="4" t="n">
        <f aca="false">Raw_Data!P231</f>
        <v>1</v>
      </c>
      <c r="Q231" s="4" t="str">
        <f aca="false">IF(OR(B231="",B231=0),"Unknown",IF(B231&lt;=25,"18-25",IF(B231&lt;=35,"26-35",IF(B231&lt;=45,"36-45","46+"))))</f>
        <v>36-45</v>
      </c>
      <c r="R231" s="4" t="n">
        <f aca="false">IF(F231="Below 20,000",10000,IF(F231="20,000-40,000",30000,IF(F231="40,000-60,000",50000,IF(F231="60,000-80,000",70000,IF(F231="Above 80,000",100000,0)))))</f>
        <v>10000</v>
      </c>
      <c r="S231" s="4" t="n">
        <f aca="false">IF(G231="Yes",1,0)</f>
        <v>1</v>
      </c>
    </row>
    <row r="232" customFormat="false" ht="15" hidden="false" customHeight="true" outlineLevel="0" collapsed="false">
      <c r="A232" s="3" t="str">
        <f aca="false">Raw_Data!A232</f>
        <v>R231</v>
      </c>
      <c r="B232" s="3" t="n">
        <f aca="false">Raw_Data!B232</f>
        <v>0</v>
      </c>
      <c r="C232" s="3" t="str">
        <f aca="false">Raw_Data!C232</f>
        <v>Male</v>
      </c>
      <c r="D232" s="3" t="str">
        <f aca="false">Raw_Data!D232</f>
        <v>Lucknow</v>
      </c>
      <c r="E232" s="3" t="str">
        <f aca="false">Raw_Data!E232</f>
        <v>Student</v>
      </c>
      <c r="F232" s="3" t="str">
        <f aca="false">Raw_Data!F232</f>
        <v>Above 80,000</v>
      </c>
      <c r="G232" s="3" t="str">
        <f aca="false">Raw_Data!G232</f>
        <v>Yes</v>
      </c>
      <c r="H232" s="3" t="str">
        <f aca="false">Raw_Data!H232</f>
        <v>MMTC-PAMP</v>
      </c>
      <c r="I232" s="3" t="str">
        <f aca="false">Raw_Data!I232</f>
        <v>Rarely</v>
      </c>
      <c r="J232" s="3" t="n">
        <f aca="false">Raw_Data!J232</f>
        <v>9120</v>
      </c>
      <c r="K232" s="3" t="str">
        <f aca="false">Raw_Data!K232</f>
        <v>Investment</v>
      </c>
      <c r="L232" s="3" t="n">
        <f aca="false">Raw_Data!L232</f>
        <v>2</v>
      </c>
      <c r="M232" s="3" t="str">
        <f aca="false">Raw_Data!M232</f>
        <v>Medium</v>
      </c>
      <c r="N232" s="3" t="str">
        <f aca="false">Raw_Data!N232</f>
        <v>Mutual Funds</v>
      </c>
      <c r="O232" s="3" t="n">
        <f aca="false">Raw_Data!O232</f>
        <v>4</v>
      </c>
      <c r="P232" s="3" t="n">
        <f aca="false">Raw_Data!P232</f>
        <v>3</v>
      </c>
      <c r="Q232" s="3" t="str">
        <f aca="false">IF(OR(B232="",B232=0),"Unknown",IF(B232&lt;=25,"18-25",IF(B232&lt;=35,"26-35",IF(B232&lt;=45,"36-45","46+"))))</f>
        <v>Unknown</v>
      </c>
      <c r="R232" s="3" t="n">
        <f aca="false">IF(F232="Below 20,000",10000,IF(F232="20,000-40,000",30000,IF(F232="40,000-60,000",50000,IF(F232="60,000-80,000",70000,IF(F232="Above 80,000",100000,0)))))</f>
        <v>100000</v>
      </c>
      <c r="S232" s="3" t="n">
        <f aca="false">IF(G232="Yes",1,0)</f>
        <v>1</v>
      </c>
    </row>
    <row r="233" customFormat="false" ht="15" hidden="false" customHeight="true" outlineLevel="0" collapsed="false">
      <c r="A233" s="4" t="str">
        <f aca="false">Raw_Data!A233</f>
        <v>R232</v>
      </c>
      <c r="B233" s="4" t="n">
        <f aca="false">Raw_Data!B233</f>
        <v>42</v>
      </c>
      <c r="C233" s="4" t="str">
        <f aca="false">Raw_Data!C233</f>
        <v>Female</v>
      </c>
      <c r="D233" s="4" t="str">
        <f aca="false">Raw_Data!D233</f>
        <v>Chennai</v>
      </c>
      <c r="E233" s="4" t="str">
        <f aca="false">Raw_Data!E233</f>
        <v>Freelancer</v>
      </c>
      <c r="F233" s="4" t="str">
        <f aca="false">Raw_Data!F233</f>
        <v>60,000-80,000</v>
      </c>
      <c r="G233" s="4" t="str">
        <f aca="false">Raw_Data!G233</f>
        <v>Yes</v>
      </c>
      <c r="H233" s="4" t="str">
        <f aca="false">Raw_Data!H233</f>
        <v>MMTC-PAMP</v>
      </c>
      <c r="I233" s="4" t="str">
        <f aca="false">Raw_Data!I233</f>
        <v>Rarely</v>
      </c>
      <c r="J233" s="4" t="n">
        <f aca="false">Raw_Data!J233</f>
        <v>14361</v>
      </c>
      <c r="K233" s="4" t="str">
        <f aca="false">Raw_Data!K233</f>
        <v>Savings</v>
      </c>
      <c r="L233" s="4" t="n">
        <f aca="false">Raw_Data!L233</f>
        <v>5</v>
      </c>
      <c r="M233" s="4" t="str">
        <f aca="false">Raw_Data!M233</f>
        <v>Low</v>
      </c>
      <c r="N233" s="4" t="str">
        <f aca="false">Raw_Data!N233</f>
        <v>Fixed Deposit</v>
      </c>
      <c r="O233" s="4" t="n">
        <f aca="false">Raw_Data!O233</f>
        <v>3</v>
      </c>
      <c r="P233" s="4" t="n">
        <f aca="false">Raw_Data!P233</f>
        <v>3</v>
      </c>
      <c r="Q233" s="4" t="str">
        <f aca="false">IF(OR(B233="",B233=0),"Unknown",IF(B233&lt;=25,"18-25",IF(B233&lt;=35,"26-35",IF(B233&lt;=45,"36-45","46+"))))</f>
        <v>36-45</v>
      </c>
      <c r="R233" s="4" t="n">
        <f aca="false">IF(F233="Below 20,000",10000,IF(F233="20,000-40,000",30000,IF(F233="40,000-60,000",50000,IF(F233="60,000-80,000",70000,IF(F233="Above 80,000",100000,0)))))</f>
        <v>70000</v>
      </c>
      <c r="S233" s="4" t="n">
        <f aca="false">IF(G233="Yes",1,0)</f>
        <v>1</v>
      </c>
    </row>
    <row r="234" customFormat="false" ht="15" hidden="false" customHeight="true" outlineLevel="0" collapsed="false">
      <c r="A234" s="3" t="str">
        <f aca="false">Raw_Data!A234</f>
        <v>R233</v>
      </c>
      <c r="B234" s="3" t="n">
        <f aca="false">Raw_Data!B234</f>
        <v>28</v>
      </c>
      <c r="C234" s="3" t="str">
        <f aca="false">Raw_Data!C234</f>
        <v>Female</v>
      </c>
      <c r="D234" s="3" t="str">
        <f aca="false">Raw_Data!D234</f>
        <v>Lucknow</v>
      </c>
      <c r="E234" s="3" t="str">
        <f aca="false">Raw_Data!E234</f>
        <v>Student</v>
      </c>
      <c r="F234" s="3" t="str">
        <f aca="false">Raw_Data!F234</f>
        <v>Below 20,000</v>
      </c>
      <c r="G234" s="3" t="str">
        <f aca="false">Raw_Data!G234</f>
        <v>Yes</v>
      </c>
      <c r="H234" s="3" t="str">
        <f aca="false">Raw_Data!H234</f>
        <v>Zerodha</v>
      </c>
      <c r="I234" s="3" t="str">
        <f aca="false">Raw_Data!I234</f>
        <v>Quarterly</v>
      </c>
      <c r="J234" s="3" t="n">
        <f aca="false">Raw_Data!J234</f>
        <v>285</v>
      </c>
      <c r="K234" s="3" t="str">
        <f aca="false">Raw_Data!K234</f>
        <v>Savings</v>
      </c>
      <c r="L234" s="3" t="n">
        <f aca="false">Raw_Data!L234</f>
        <v>1</v>
      </c>
      <c r="M234" s="3" t="str">
        <f aca="false">Raw_Data!M234</f>
        <v>Low</v>
      </c>
      <c r="N234" s="3" t="str">
        <f aca="false">Raw_Data!N234</f>
        <v>Digital Gold</v>
      </c>
      <c r="O234" s="3" t="n">
        <f aca="false">Raw_Data!O234</f>
        <v>3</v>
      </c>
      <c r="P234" s="3" t="n">
        <f aca="false">Raw_Data!P234</f>
        <v>6</v>
      </c>
      <c r="Q234" s="3" t="str">
        <f aca="false">IF(OR(B234="",B234=0),"Unknown",IF(B234&lt;=25,"18-25",IF(B234&lt;=35,"26-35",IF(B234&lt;=45,"36-45","46+"))))</f>
        <v>26-35</v>
      </c>
      <c r="R234" s="3" t="n">
        <f aca="false">IF(F234="Below 20,000",10000,IF(F234="20,000-40,000",30000,IF(F234="40,000-60,000",50000,IF(F234="60,000-80,000",70000,IF(F234="Above 80,000",100000,0)))))</f>
        <v>10000</v>
      </c>
      <c r="S234" s="3" t="n">
        <f aca="false">IF(G234="Yes",1,0)</f>
        <v>1</v>
      </c>
    </row>
    <row r="235" customFormat="false" ht="15" hidden="false" customHeight="true" outlineLevel="0" collapsed="false">
      <c r="A235" s="4" t="str">
        <f aca="false">Raw_Data!A235</f>
        <v>R234</v>
      </c>
      <c r="B235" s="4" t="n">
        <f aca="false">Raw_Data!B235</f>
        <v>52</v>
      </c>
      <c r="C235" s="4" t="str">
        <f aca="false">Raw_Data!C235</f>
        <v>Female</v>
      </c>
      <c r="D235" s="4" t="str">
        <f aca="false">Raw_Data!D235</f>
        <v>Pune</v>
      </c>
      <c r="E235" s="4" t="str">
        <f aca="false">Raw_Data!E235</f>
        <v>Government Employee</v>
      </c>
      <c r="F235" s="4" t="str">
        <f aca="false">Raw_Data!F235</f>
        <v>40,000-60,000</v>
      </c>
      <c r="G235" s="4" t="str">
        <f aca="false">Raw_Data!G235</f>
        <v>No</v>
      </c>
      <c r="H235" s="4" t="n">
        <f aca="false">Raw_Data!H235</f>
        <v>0</v>
      </c>
      <c r="I235" s="4" t="n">
        <f aca="false">Raw_Data!I235</f>
        <v>0</v>
      </c>
      <c r="J235" s="4" t="n">
        <f aca="false">Raw_Data!J235</f>
        <v>0</v>
      </c>
      <c r="K235" s="4" t="n">
        <f aca="false">Raw_Data!K235</f>
        <v>0</v>
      </c>
      <c r="L235" s="4" t="n">
        <f aca="false">Raw_Data!L235</f>
        <v>0</v>
      </c>
      <c r="M235" s="4" t="str">
        <f aca="false">Raw_Data!M235</f>
        <v>High</v>
      </c>
      <c r="N235" s="4" t="str">
        <f aca="false">Raw_Data!N235</f>
        <v>Fixed Deposit</v>
      </c>
      <c r="O235" s="4" t="n">
        <f aca="false">Raw_Data!O235</f>
        <v>4</v>
      </c>
      <c r="P235" s="4" t="n">
        <f aca="false">Raw_Data!P235</f>
        <v>3</v>
      </c>
      <c r="Q235" s="4" t="str">
        <f aca="false">IF(OR(B235="",B235=0),"Unknown",IF(B235&lt;=25,"18-25",IF(B235&lt;=35,"26-35",IF(B235&lt;=45,"36-45","46+"))))</f>
        <v>46+</v>
      </c>
      <c r="R235" s="4" t="n">
        <f aca="false">IF(F235="Below 20,000",10000,IF(F235="20,000-40,000",30000,IF(F235="40,000-60,000",50000,IF(F235="60,000-80,000",70000,IF(F235="Above 80,000",100000,0)))))</f>
        <v>50000</v>
      </c>
      <c r="S235" s="4" t="n">
        <f aca="false">IF(G235="Yes",1,0)</f>
        <v>0</v>
      </c>
    </row>
    <row r="236" customFormat="false" ht="15" hidden="false" customHeight="true" outlineLevel="0" collapsed="false">
      <c r="A236" s="3" t="str">
        <f aca="false">Raw_Data!A236</f>
        <v>R235</v>
      </c>
      <c r="B236" s="3" t="n">
        <f aca="false">Raw_Data!B236</f>
        <v>59</v>
      </c>
      <c r="C236" s="3" t="str">
        <f aca="false">Raw_Data!C236</f>
        <v>Female</v>
      </c>
      <c r="D236" s="3" t="str">
        <f aca="false">Raw_Data!D236</f>
        <v>Kolkata</v>
      </c>
      <c r="E236" s="3" t="str">
        <f aca="false">Raw_Data!E236</f>
        <v>Salaried</v>
      </c>
      <c r="F236" s="3" t="str">
        <f aca="false">Raw_Data!F236</f>
        <v>Below 20,000</v>
      </c>
      <c r="G236" s="3" t="str">
        <f aca="false">Raw_Data!G236</f>
        <v>Yes</v>
      </c>
      <c r="H236" s="3" t="str">
        <f aca="false">Raw_Data!H236</f>
        <v>MMTC-PAMP</v>
      </c>
      <c r="I236" s="3" t="str">
        <f aca="false">Raw_Data!I236</f>
        <v>Monthly</v>
      </c>
      <c r="J236" s="3" t="n">
        <f aca="false">Raw_Data!J236</f>
        <v>1069</v>
      </c>
      <c r="K236" s="3" t="str">
        <f aca="false">Raw_Data!K236</f>
        <v>Investment</v>
      </c>
      <c r="L236" s="3" t="n">
        <f aca="false">Raw_Data!L236</f>
        <v>2</v>
      </c>
      <c r="M236" s="3" t="str">
        <f aca="false">Raw_Data!M236</f>
        <v>Low</v>
      </c>
      <c r="N236" s="3" t="str">
        <f aca="false">Raw_Data!N236</f>
        <v>Physical Gold</v>
      </c>
      <c r="O236" s="3" t="n">
        <f aca="false">Raw_Data!O236</f>
        <v>5</v>
      </c>
      <c r="P236" s="3" t="n">
        <f aca="false">Raw_Data!P236</f>
        <v>8</v>
      </c>
      <c r="Q236" s="3" t="str">
        <f aca="false">IF(OR(B236="",B236=0),"Unknown",IF(B236&lt;=25,"18-25",IF(B236&lt;=35,"26-35",IF(B236&lt;=45,"36-45","46+"))))</f>
        <v>46+</v>
      </c>
      <c r="R236" s="3" t="n">
        <f aca="false">IF(F236="Below 20,000",10000,IF(F236="20,000-40,000",30000,IF(F236="40,000-60,000",50000,IF(F236="60,000-80,000",70000,IF(F236="Above 80,000",100000,0)))))</f>
        <v>10000</v>
      </c>
      <c r="S236" s="3" t="n">
        <f aca="false">IF(G236="Yes",1,0)</f>
        <v>1</v>
      </c>
    </row>
    <row r="237" customFormat="false" ht="15" hidden="false" customHeight="true" outlineLevel="0" collapsed="false">
      <c r="A237" s="4" t="str">
        <f aca="false">Raw_Data!A237</f>
        <v>R236</v>
      </c>
      <c r="B237" s="4" t="n">
        <f aca="false">Raw_Data!B237</f>
        <v>33</v>
      </c>
      <c r="C237" s="4" t="str">
        <f aca="false">Raw_Data!C237</f>
        <v>Male</v>
      </c>
      <c r="D237" s="4" t="str">
        <f aca="false">Raw_Data!D237</f>
        <v>Hyderabad</v>
      </c>
      <c r="E237" s="4" t="str">
        <f aca="false">Raw_Data!E237</f>
        <v>Student</v>
      </c>
      <c r="F237" s="4" t="str">
        <f aca="false">Raw_Data!F237</f>
        <v>40,000-60,000</v>
      </c>
      <c r="G237" s="4" t="str">
        <f aca="false">Raw_Data!G237</f>
        <v>Yes</v>
      </c>
      <c r="H237" s="4" t="str">
        <f aca="false">Raw_Data!H237</f>
        <v>Paytm</v>
      </c>
      <c r="I237" s="4" t="str">
        <f aca="false">Raw_Data!I237</f>
        <v>Monthly</v>
      </c>
      <c r="J237" s="4" t="n">
        <f aca="false">Raw_Data!J237</f>
        <v>3867</v>
      </c>
      <c r="K237" s="4" t="str">
        <f aca="false">Raw_Data!K237</f>
        <v>Savings</v>
      </c>
      <c r="L237" s="4" t="n">
        <f aca="false">Raw_Data!L237</f>
        <v>4</v>
      </c>
      <c r="M237" s="4" t="str">
        <f aca="false">Raw_Data!M237</f>
        <v>Medium</v>
      </c>
      <c r="N237" s="4" t="str">
        <f aca="false">Raw_Data!N237</f>
        <v>Fixed Deposit</v>
      </c>
      <c r="O237" s="4" t="n">
        <f aca="false">Raw_Data!O237</f>
        <v>3</v>
      </c>
      <c r="P237" s="4" t="n">
        <f aca="false">Raw_Data!P237</f>
        <v>9</v>
      </c>
      <c r="Q237" s="4" t="str">
        <f aca="false">IF(OR(B237="",B237=0),"Unknown",IF(B237&lt;=25,"18-25",IF(B237&lt;=35,"26-35",IF(B237&lt;=45,"36-45","46+"))))</f>
        <v>26-35</v>
      </c>
      <c r="R237" s="4" t="n">
        <f aca="false">IF(F237="Below 20,000",10000,IF(F237="20,000-40,000",30000,IF(F237="40,000-60,000",50000,IF(F237="60,000-80,000",70000,IF(F237="Above 80,000",100000,0)))))</f>
        <v>50000</v>
      </c>
      <c r="S237" s="4" t="n">
        <f aca="false">IF(G237="Yes",1,0)</f>
        <v>1</v>
      </c>
    </row>
    <row r="238" customFormat="false" ht="15" hidden="false" customHeight="true" outlineLevel="0" collapsed="false">
      <c r="A238" s="3" t="str">
        <f aca="false">Raw_Data!A238</f>
        <v>R237</v>
      </c>
      <c r="B238" s="3" t="n">
        <f aca="false">Raw_Data!B238</f>
        <v>27</v>
      </c>
      <c r="C238" s="3" t="str">
        <f aca="false">Raw_Data!C238</f>
        <v>Male</v>
      </c>
      <c r="D238" s="3" t="str">
        <f aca="false">Raw_Data!D238</f>
        <v>Hyderabad</v>
      </c>
      <c r="E238" s="3" t="str">
        <f aca="false">Raw_Data!E238</f>
        <v>Homemaker</v>
      </c>
      <c r="F238" s="3" t="str">
        <f aca="false">Raw_Data!F238</f>
        <v>40,000-60,000</v>
      </c>
      <c r="G238" s="3" t="str">
        <f aca="false">Raw_Data!G238</f>
        <v>Yes</v>
      </c>
      <c r="H238" s="3" t="str">
        <f aca="false">Raw_Data!H238</f>
        <v>MMTC-PAMP</v>
      </c>
      <c r="I238" s="3" t="str">
        <f aca="false">Raw_Data!I238</f>
        <v>Daily</v>
      </c>
      <c r="J238" s="3" t="n">
        <f aca="false">Raw_Data!J238</f>
        <v>4337</v>
      </c>
      <c r="K238" s="3" t="str">
        <f aca="false">Raw_Data!K238</f>
        <v>Investment</v>
      </c>
      <c r="L238" s="3" t="n">
        <f aca="false">Raw_Data!L238</f>
        <v>3</v>
      </c>
      <c r="M238" s="3" t="str">
        <f aca="false">Raw_Data!M238</f>
        <v>High</v>
      </c>
      <c r="N238" s="3" t="str">
        <f aca="false">Raw_Data!N238</f>
        <v>Fixed Deposit</v>
      </c>
      <c r="O238" s="3" t="n">
        <f aca="false">Raw_Data!O238</f>
        <v>2</v>
      </c>
      <c r="P238" s="3" t="n">
        <f aca="false">Raw_Data!P238</f>
        <v>4</v>
      </c>
      <c r="Q238" s="3" t="str">
        <f aca="false">IF(OR(B238="",B238=0),"Unknown",IF(B238&lt;=25,"18-25",IF(B238&lt;=35,"26-35",IF(B238&lt;=45,"36-45","46+"))))</f>
        <v>26-35</v>
      </c>
      <c r="R238" s="3" t="n">
        <f aca="false">IF(F238="Below 20,000",10000,IF(F238="20,000-40,000",30000,IF(F238="40,000-60,000",50000,IF(F238="60,000-80,000",70000,IF(F238="Above 80,000",100000,0)))))</f>
        <v>50000</v>
      </c>
      <c r="S238" s="3" t="n">
        <f aca="false">IF(G238="Yes",1,0)</f>
        <v>1</v>
      </c>
    </row>
    <row r="239" customFormat="false" ht="15" hidden="false" customHeight="true" outlineLevel="0" collapsed="false">
      <c r="A239" s="4" t="str">
        <f aca="false">Raw_Data!A239</f>
        <v>R238</v>
      </c>
      <c r="B239" s="4" t="n">
        <f aca="false">Raw_Data!B239</f>
        <v>27</v>
      </c>
      <c r="C239" s="4" t="str">
        <f aca="false">Raw_Data!C239</f>
        <v>Male</v>
      </c>
      <c r="D239" s="4" t="str">
        <f aca="false">Raw_Data!D239</f>
        <v>Ahmedabad</v>
      </c>
      <c r="E239" s="4" t="str">
        <f aca="false">Raw_Data!E239</f>
        <v>Homemaker</v>
      </c>
      <c r="F239" s="4" t="str">
        <f aca="false">Raw_Data!F239</f>
        <v>Above 80,000</v>
      </c>
      <c r="G239" s="4" t="str">
        <f aca="false">Raw_Data!G239</f>
        <v>Yes</v>
      </c>
      <c r="H239" s="4" t="str">
        <f aca="false">Raw_Data!H239</f>
        <v>Zerodha</v>
      </c>
      <c r="I239" s="4" t="str">
        <f aca="false">Raw_Data!I239</f>
        <v>Daily</v>
      </c>
      <c r="J239" s="4" t="n">
        <f aca="false">Raw_Data!J239</f>
        <v>16163</v>
      </c>
      <c r="K239" s="4" t="str">
        <f aca="false">Raw_Data!K239</f>
        <v>Investment</v>
      </c>
      <c r="L239" s="4" t="n">
        <f aca="false">Raw_Data!L239</f>
        <v>2</v>
      </c>
      <c r="M239" s="4" t="str">
        <f aca="false">Raw_Data!M239</f>
        <v>Low</v>
      </c>
      <c r="N239" s="4" t="str">
        <f aca="false">Raw_Data!N239</f>
        <v>Physical Gold</v>
      </c>
      <c r="O239" s="4" t="n">
        <f aca="false">Raw_Data!O239</f>
        <v>1</v>
      </c>
      <c r="P239" s="4" t="n">
        <f aca="false">Raw_Data!P239</f>
        <v>7</v>
      </c>
      <c r="Q239" s="4" t="str">
        <f aca="false">IF(OR(B239="",B239=0),"Unknown",IF(B239&lt;=25,"18-25",IF(B239&lt;=35,"26-35",IF(B239&lt;=45,"36-45","46+"))))</f>
        <v>26-35</v>
      </c>
      <c r="R239" s="4" t="n">
        <f aca="false">IF(F239="Below 20,000",10000,IF(F239="20,000-40,000",30000,IF(F239="40,000-60,000",50000,IF(F239="60,000-80,000",70000,IF(F239="Above 80,000",100000,0)))))</f>
        <v>100000</v>
      </c>
      <c r="S239" s="4" t="n">
        <f aca="false">IF(G239="Yes",1,0)</f>
        <v>1</v>
      </c>
    </row>
    <row r="240" customFormat="false" ht="15" hidden="false" customHeight="true" outlineLevel="0" collapsed="false">
      <c r="A240" s="3" t="str">
        <f aca="false">Raw_Data!A240</f>
        <v>R239</v>
      </c>
      <c r="B240" s="3" t="n">
        <f aca="false">Raw_Data!B240</f>
        <v>28</v>
      </c>
      <c r="C240" s="3" t="str">
        <f aca="false">Raw_Data!C240</f>
        <v>Female</v>
      </c>
      <c r="D240" s="3" t="str">
        <f aca="false">Raw_Data!D240</f>
        <v>Delhi</v>
      </c>
      <c r="E240" s="3" t="str">
        <f aca="false">Raw_Data!E240</f>
        <v>Homemaker</v>
      </c>
      <c r="F240" s="3" t="n">
        <f aca="false">Raw_Data!F240</f>
        <v>0</v>
      </c>
      <c r="G240" s="3" t="str">
        <f aca="false">Raw_Data!G240</f>
        <v>Yes</v>
      </c>
      <c r="H240" s="3" t="str">
        <f aca="false">Raw_Data!H240</f>
        <v>MMTC-PAMP</v>
      </c>
      <c r="I240" s="3" t="str">
        <f aca="false">Raw_Data!I240</f>
        <v>Daily</v>
      </c>
      <c r="J240" s="3" t="n">
        <f aca="false">Raw_Data!J240</f>
        <v>1215</v>
      </c>
      <c r="K240" s="3" t="str">
        <f aca="false">Raw_Data!K240</f>
        <v>Savings</v>
      </c>
      <c r="L240" s="3" t="n">
        <f aca="false">Raw_Data!L240</f>
        <v>1</v>
      </c>
      <c r="M240" s="3" t="str">
        <f aca="false">Raw_Data!M240</f>
        <v>Medium</v>
      </c>
      <c r="N240" s="3" t="str">
        <f aca="false">Raw_Data!N240</f>
        <v>Digital Gold</v>
      </c>
      <c r="O240" s="3" t="n">
        <f aca="false">Raw_Data!O240</f>
        <v>4</v>
      </c>
      <c r="P240" s="3" t="n">
        <f aca="false">Raw_Data!P240</f>
        <v>10</v>
      </c>
      <c r="Q240" s="3" t="str">
        <f aca="false">IF(OR(B240="",B240=0),"Unknown",IF(B240&lt;=25,"18-25",IF(B240&lt;=35,"26-35",IF(B240&lt;=45,"36-45","46+"))))</f>
        <v>26-35</v>
      </c>
      <c r="R240" s="3" t="n">
        <f aca="false">IF(F240="Below 20,000",10000,IF(F240="20,000-40,000",30000,IF(F240="40,000-60,000",50000,IF(F240="60,000-80,000",70000,IF(F240="Above 80,000",100000,0)))))</f>
        <v>0</v>
      </c>
      <c r="S240" s="3" t="n">
        <f aca="false">IF(G240="Yes",1,0)</f>
        <v>1</v>
      </c>
    </row>
    <row r="241" customFormat="false" ht="15" hidden="false" customHeight="true" outlineLevel="0" collapsed="false">
      <c r="A241" s="4" t="str">
        <f aca="false">Raw_Data!A241</f>
        <v>R240</v>
      </c>
      <c r="B241" s="4" t="n">
        <f aca="false">Raw_Data!B241</f>
        <v>60</v>
      </c>
      <c r="C241" s="4" t="str">
        <f aca="false">Raw_Data!C241</f>
        <v>Female</v>
      </c>
      <c r="D241" s="4" t="str">
        <f aca="false">Raw_Data!D241</f>
        <v>Lucknow</v>
      </c>
      <c r="E241" s="4" t="str">
        <f aca="false">Raw_Data!E241</f>
        <v>Business</v>
      </c>
      <c r="F241" s="4" t="str">
        <f aca="false">Raw_Data!F241</f>
        <v>60,000-80,000</v>
      </c>
      <c r="G241" s="4" t="str">
        <f aca="false">Raw_Data!G241</f>
        <v>Yes</v>
      </c>
      <c r="H241" s="4" t="str">
        <f aca="false">Raw_Data!H241</f>
        <v>Zerodha</v>
      </c>
      <c r="I241" s="4" t="str">
        <f aca="false">Raw_Data!I241</f>
        <v>Daily</v>
      </c>
      <c r="J241" s="4" t="n">
        <f aca="false">Raw_Data!J241</f>
        <v>12935</v>
      </c>
      <c r="K241" s="4" t="str">
        <f aca="false">Raw_Data!K241</f>
        <v>Investment</v>
      </c>
      <c r="L241" s="4" t="n">
        <f aca="false">Raw_Data!L241</f>
        <v>3</v>
      </c>
      <c r="M241" s="4" t="str">
        <f aca="false">Raw_Data!M241</f>
        <v>Low</v>
      </c>
      <c r="N241" s="4" t="str">
        <f aca="false">Raw_Data!N241</f>
        <v>Digital Gold</v>
      </c>
      <c r="O241" s="4" t="n">
        <f aca="false">Raw_Data!O241</f>
        <v>3</v>
      </c>
      <c r="P241" s="4" t="n">
        <f aca="false">Raw_Data!P241</f>
        <v>4</v>
      </c>
      <c r="Q241" s="4" t="str">
        <f aca="false">IF(OR(B241="",B241=0),"Unknown",IF(B241&lt;=25,"18-25",IF(B241&lt;=35,"26-35",IF(B241&lt;=45,"36-45","46+"))))</f>
        <v>46+</v>
      </c>
      <c r="R241" s="4" t="n">
        <f aca="false">IF(F241="Below 20,000",10000,IF(F241="20,000-40,000",30000,IF(F241="40,000-60,000",50000,IF(F241="60,000-80,000",70000,IF(F241="Above 80,000",100000,0)))))</f>
        <v>70000</v>
      </c>
      <c r="S241" s="4" t="n">
        <f aca="false">IF(G241="Yes",1,0)</f>
        <v>1</v>
      </c>
    </row>
    <row r="242" customFormat="false" ht="15" hidden="false" customHeight="true" outlineLevel="0" collapsed="false">
      <c r="A242" s="3" t="str">
        <f aca="false">Raw_Data!A242</f>
        <v>R241</v>
      </c>
      <c r="B242" s="3" t="n">
        <f aca="false">Raw_Data!B242</f>
        <v>30</v>
      </c>
      <c r="C242" s="3" t="str">
        <f aca="false">Raw_Data!C242</f>
        <v>Male</v>
      </c>
      <c r="D242" s="3" t="str">
        <f aca="false">Raw_Data!D242</f>
        <v>Jaipur</v>
      </c>
      <c r="E242" s="3" t="str">
        <f aca="false">Raw_Data!E242</f>
        <v>Business</v>
      </c>
      <c r="F242" s="3" t="str">
        <f aca="false">Raw_Data!F242</f>
        <v>40,000-60,000</v>
      </c>
      <c r="G242" s="3" t="str">
        <f aca="false">Raw_Data!G242</f>
        <v>Yes</v>
      </c>
      <c r="H242" s="3" t="str">
        <f aca="false">Raw_Data!H242</f>
        <v>MMTC-PAMP</v>
      </c>
      <c r="I242" s="3" t="str">
        <f aca="false">Raw_Data!I242</f>
        <v>Daily</v>
      </c>
      <c r="J242" s="3" t="n">
        <f aca="false">Raw_Data!J242</f>
        <v>3031</v>
      </c>
      <c r="K242" s="3" t="str">
        <f aca="false">Raw_Data!K242</f>
        <v>Savings</v>
      </c>
      <c r="L242" s="3" t="n">
        <f aca="false">Raw_Data!L242</f>
        <v>5</v>
      </c>
      <c r="M242" s="3" t="str">
        <f aca="false">Raw_Data!M242</f>
        <v>Low</v>
      </c>
      <c r="N242" s="3" t="str">
        <f aca="false">Raw_Data!N242</f>
        <v>Fixed Deposit</v>
      </c>
      <c r="O242" s="3" t="n">
        <f aca="false">Raw_Data!O242</f>
        <v>1</v>
      </c>
      <c r="P242" s="3" t="n">
        <f aca="false">Raw_Data!P242</f>
        <v>7</v>
      </c>
      <c r="Q242" s="3" t="str">
        <f aca="false">IF(OR(B242="",B242=0),"Unknown",IF(B242&lt;=25,"18-25",IF(B242&lt;=35,"26-35",IF(B242&lt;=45,"36-45","46+"))))</f>
        <v>26-35</v>
      </c>
      <c r="R242" s="3" t="n">
        <f aca="false">IF(F242="Below 20,000",10000,IF(F242="20,000-40,000",30000,IF(F242="40,000-60,000",50000,IF(F242="60,000-80,000",70000,IF(F242="Above 80,000",100000,0)))))</f>
        <v>50000</v>
      </c>
      <c r="S242" s="3" t="n">
        <f aca="false">IF(G242="Yes",1,0)</f>
        <v>1</v>
      </c>
    </row>
    <row r="243" customFormat="false" ht="15" hidden="false" customHeight="true" outlineLevel="0" collapsed="false">
      <c r="A243" s="4" t="str">
        <f aca="false">Raw_Data!A243</f>
        <v>R242</v>
      </c>
      <c r="B243" s="4" t="n">
        <f aca="false">Raw_Data!B243</f>
        <v>35</v>
      </c>
      <c r="C243" s="4" t="str">
        <f aca="false">Raw_Data!C243</f>
        <v>Female</v>
      </c>
      <c r="D243" s="4" t="str">
        <f aca="false">Raw_Data!D243</f>
        <v>Lucknow</v>
      </c>
      <c r="E243" s="4" t="str">
        <f aca="false">Raw_Data!E243</f>
        <v>Salaried</v>
      </c>
      <c r="F243" s="4" t="str">
        <f aca="false">Raw_Data!F243</f>
        <v>20,000-40,000</v>
      </c>
      <c r="G243" s="4" t="str">
        <f aca="false">Raw_Data!G243</f>
        <v>Yes</v>
      </c>
      <c r="H243" s="4" t="str">
        <f aca="false">Raw_Data!H243</f>
        <v>Groww</v>
      </c>
      <c r="I243" s="4" t="str">
        <f aca="false">Raw_Data!I243</f>
        <v>Weekly</v>
      </c>
      <c r="J243" s="4" t="n">
        <f aca="false">Raw_Data!J243</f>
        <v>1109</v>
      </c>
      <c r="K243" s="4" t="str">
        <f aca="false">Raw_Data!K243</f>
        <v>Investment</v>
      </c>
      <c r="L243" s="4" t="n">
        <f aca="false">Raw_Data!L243</f>
        <v>5</v>
      </c>
      <c r="M243" s="4" t="str">
        <f aca="false">Raw_Data!M243</f>
        <v>High</v>
      </c>
      <c r="N243" s="4" t="str">
        <f aca="false">Raw_Data!N243</f>
        <v>Digital Gold</v>
      </c>
      <c r="O243" s="4" t="n">
        <f aca="false">Raw_Data!O243</f>
        <v>2</v>
      </c>
      <c r="P243" s="4" t="n">
        <f aca="false">Raw_Data!P243</f>
        <v>7</v>
      </c>
      <c r="Q243" s="4" t="str">
        <f aca="false">IF(OR(B243="",B243=0),"Unknown",IF(B243&lt;=25,"18-25",IF(B243&lt;=35,"26-35",IF(B243&lt;=45,"36-45","46+"))))</f>
        <v>26-35</v>
      </c>
      <c r="R243" s="4" t="n">
        <f aca="false">IF(F243="Below 20,000",10000,IF(F243="20,000-40,000",30000,IF(F243="40,000-60,000",50000,IF(F243="60,000-80,000",70000,IF(F243="Above 80,000",100000,0)))))</f>
        <v>30000</v>
      </c>
      <c r="S243" s="4" t="n">
        <f aca="false">IF(G243="Yes",1,0)</f>
        <v>1</v>
      </c>
    </row>
    <row r="244" customFormat="false" ht="15" hidden="false" customHeight="true" outlineLevel="0" collapsed="false">
      <c r="A244" s="3" t="str">
        <f aca="false">Raw_Data!A244</f>
        <v>R243</v>
      </c>
      <c r="B244" s="3" t="n">
        <f aca="false">Raw_Data!B244</f>
        <v>41</v>
      </c>
      <c r="C244" s="3" t="str">
        <f aca="false">Raw_Data!C244</f>
        <v>Female</v>
      </c>
      <c r="D244" s="3" t="str">
        <f aca="false">Raw_Data!D244</f>
        <v>Jaipur</v>
      </c>
      <c r="E244" s="3" t="str">
        <f aca="false">Raw_Data!E244</f>
        <v>Student</v>
      </c>
      <c r="F244" s="3" t="str">
        <f aca="false">Raw_Data!F244</f>
        <v>Below 20,000</v>
      </c>
      <c r="G244" s="3" t="str">
        <f aca="false">Raw_Data!G244</f>
        <v>Yes</v>
      </c>
      <c r="H244" s="3" t="str">
        <f aca="false">Raw_Data!H244</f>
        <v>Groww</v>
      </c>
      <c r="I244" s="3" t="str">
        <f aca="false">Raw_Data!I244</f>
        <v>Daily</v>
      </c>
      <c r="J244" s="3" t="n">
        <f aca="false">Raw_Data!J244</f>
        <v>952</v>
      </c>
      <c r="K244" s="3" t="str">
        <f aca="false">Raw_Data!K244</f>
        <v>Savings</v>
      </c>
      <c r="L244" s="3" t="n">
        <f aca="false">Raw_Data!L244</f>
        <v>3</v>
      </c>
      <c r="M244" s="3" t="str">
        <f aca="false">Raw_Data!M244</f>
        <v>High</v>
      </c>
      <c r="N244" s="3" t="str">
        <f aca="false">Raw_Data!N244</f>
        <v>Digital Gold</v>
      </c>
      <c r="O244" s="3" t="n">
        <f aca="false">Raw_Data!O244</f>
        <v>1</v>
      </c>
      <c r="P244" s="3" t="n">
        <f aca="false">Raw_Data!P244</f>
        <v>6</v>
      </c>
      <c r="Q244" s="3" t="str">
        <f aca="false">IF(OR(B244="",B244=0),"Unknown",IF(B244&lt;=25,"18-25",IF(B244&lt;=35,"26-35",IF(B244&lt;=45,"36-45","46+"))))</f>
        <v>36-45</v>
      </c>
      <c r="R244" s="3" t="n">
        <f aca="false">IF(F244="Below 20,000",10000,IF(F244="20,000-40,000",30000,IF(F244="40,000-60,000",50000,IF(F244="60,000-80,000",70000,IF(F244="Above 80,000",100000,0)))))</f>
        <v>10000</v>
      </c>
      <c r="S244" s="3" t="n">
        <f aca="false">IF(G244="Yes",1,0)</f>
        <v>1</v>
      </c>
    </row>
    <row r="245" customFormat="false" ht="15" hidden="false" customHeight="true" outlineLevel="0" collapsed="false">
      <c r="A245" s="4" t="str">
        <f aca="false">Raw_Data!A245</f>
        <v>R244</v>
      </c>
      <c r="B245" s="4" t="n">
        <f aca="false">Raw_Data!B245</f>
        <v>39</v>
      </c>
      <c r="C245" s="4" t="str">
        <f aca="false">Raw_Data!C245</f>
        <v>Male</v>
      </c>
      <c r="D245" s="4" t="str">
        <f aca="false">Raw_Data!D245</f>
        <v>Delhi</v>
      </c>
      <c r="E245" s="4" t="str">
        <f aca="false">Raw_Data!E245</f>
        <v>Student</v>
      </c>
      <c r="F245" s="4" t="str">
        <f aca="false">Raw_Data!F245</f>
        <v>40,000-60,000</v>
      </c>
      <c r="G245" s="4" t="str">
        <f aca="false">Raw_Data!G245</f>
        <v>No</v>
      </c>
      <c r="H245" s="4" t="n">
        <f aca="false">Raw_Data!H245</f>
        <v>0</v>
      </c>
      <c r="I245" s="4" t="n">
        <f aca="false">Raw_Data!I245</f>
        <v>0</v>
      </c>
      <c r="J245" s="4" t="n">
        <f aca="false">Raw_Data!J245</f>
        <v>0</v>
      </c>
      <c r="K245" s="4" t="n">
        <f aca="false">Raw_Data!K245</f>
        <v>0</v>
      </c>
      <c r="L245" s="4" t="n">
        <f aca="false">Raw_Data!L245</f>
        <v>3</v>
      </c>
      <c r="M245" s="4" t="str">
        <f aca="false">Raw_Data!M245</f>
        <v>Medium</v>
      </c>
      <c r="N245" s="4" t="str">
        <f aca="false">Raw_Data!N245</f>
        <v>Digital Gold</v>
      </c>
      <c r="O245" s="4" t="n">
        <f aca="false">Raw_Data!O245</f>
        <v>1</v>
      </c>
      <c r="P245" s="4" t="n">
        <f aca="false">Raw_Data!P245</f>
        <v>6</v>
      </c>
      <c r="Q245" s="4" t="str">
        <f aca="false">IF(OR(B245="",B245=0),"Unknown",IF(B245&lt;=25,"18-25",IF(B245&lt;=35,"26-35",IF(B245&lt;=45,"36-45","46+"))))</f>
        <v>36-45</v>
      </c>
      <c r="R245" s="4" t="n">
        <f aca="false">IF(F245="Below 20,000",10000,IF(F245="20,000-40,000",30000,IF(F245="40,000-60,000",50000,IF(F245="60,000-80,000",70000,IF(F245="Above 80,000",100000,0)))))</f>
        <v>50000</v>
      </c>
      <c r="S245" s="4" t="n">
        <f aca="false">IF(G245="Yes",1,0)</f>
        <v>0</v>
      </c>
    </row>
    <row r="246" customFormat="false" ht="15" hidden="false" customHeight="true" outlineLevel="0" collapsed="false">
      <c r="A246" s="3" t="str">
        <f aca="false">Raw_Data!A246</f>
        <v>R245</v>
      </c>
      <c r="B246" s="3" t="n">
        <f aca="false">Raw_Data!B246</f>
        <v>20</v>
      </c>
      <c r="C246" s="3" t="str">
        <f aca="false">Raw_Data!C246</f>
        <v>Male</v>
      </c>
      <c r="D246" s="3" t="str">
        <f aca="false">Raw_Data!D246</f>
        <v>Bangalore</v>
      </c>
      <c r="E246" s="3" t="str">
        <f aca="false">Raw_Data!E246</f>
        <v>Freelancer</v>
      </c>
      <c r="F246" s="3" t="str">
        <f aca="false">Raw_Data!F246</f>
        <v>Above 80,000</v>
      </c>
      <c r="G246" s="3" t="str">
        <f aca="false">Raw_Data!G246</f>
        <v>No</v>
      </c>
      <c r="H246" s="3" t="str">
        <f aca="false">Raw_Data!H246</f>
        <v>Paytm</v>
      </c>
      <c r="I246" s="3" t="n">
        <f aca="false">Raw_Data!I246</f>
        <v>0</v>
      </c>
      <c r="J246" s="3" t="n">
        <f aca="false">Raw_Data!J246</f>
        <v>0</v>
      </c>
      <c r="K246" s="3" t="n">
        <f aca="false">Raw_Data!K246</f>
        <v>0</v>
      </c>
      <c r="L246" s="3" t="n">
        <f aca="false">Raw_Data!L246</f>
        <v>3</v>
      </c>
      <c r="M246" s="3" t="str">
        <f aca="false">Raw_Data!M246</f>
        <v>High</v>
      </c>
      <c r="N246" s="3" t="str">
        <f aca="false">Raw_Data!N246</f>
        <v>Digital Gold</v>
      </c>
      <c r="O246" s="3" t="n">
        <f aca="false">Raw_Data!O246</f>
        <v>4</v>
      </c>
      <c r="P246" s="3" t="n">
        <f aca="false">Raw_Data!P246</f>
        <v>4</v>
      </c>
      <c r="Q246" s="3" t="str">
        <f aca="false">IF(OR(B246="",B246=0),"Unknown",IF(B246&lt;=25,"18-25",IF(B246&lt;=35,"26-35",IF(B246&lt;=45,"36-45","46+"))))</f>
        <v>18-25</v>
      </c>
      <c r="R246" s="3" t="n">
        <f aca="false">IF(F246="Below 20,000",10000,IF(F246="20,000-40,000",30000,IF(F246="40,000-60,000",50000,IF(F246="60,000-80,000",70000,IF(F246="Above 80,000",100000,0)))))</f>
        <v>100000</v>
      </c>
      <c r="S246" s="3" t="n">
        <f aca="false">IF(G246="Yes",1,0)</f>
        <v>0</v>
      </c>
    </row>
    <row r="247" customFormat="false" ht="15" hidden="false" customHeight="true" outlineLevel="0" collapsed="false">
      <c r="A247" s="4" t="str">
        <f aca="false">Raw_Data!A247</f>
        <v>R246</v>
      </c>
      <c r="B247" s="4" t="n">
        <f aca="false">Raw_Data!B247</f>
        <v>37</v>
      </c>
      <c r="C247" s="4" t="str">
        <f aca="false">Raw_Data!C247</f>
        <v>Male</v>
      </c>
      <c r="D247" s="4" t="str">
        <f aca="false">Raw_Data!D247</f>
        <v>Chennai</v>
      </c>
      <c r="E247" s="4" t="str">
        <f aca="false">Raw_Data!E247</f>
        <v>Government Employee</v>
      </c>
      <c r="F247" s="4" t="str">
        <f aca="false">Raw_Data!F247</f>
        <v>40,000-60,000</v>
      </c>
      <c r="G247" s="4" t="str">
        <f aca="false">Raw_Data!G247</f>
        <v>Yes</v>
      </c>
      <c r="H247" s="4" t="str">
        <f aca="false">Raw_Data!H247</f>
        <v>Zerodha</v>
      </c>
      <c r="I247" s="4" t="str">
        <f aca="false">Raw_Data!I247</f>
        <v>Weekly</v>
      </c>
      <c r="J247" s="4" t="n">
        <f aca="false">Raw_Data!J247</f>
        <v>6628</v>
      </c>
      <c r="K247" s="4" t="str">
        <f aca="false">Raw_Data!K247</f>
        <v>Investment</v>
      </c>
      <c r="L247" s="4" t="n">
        <f aca="false">Raw_Data!L247</f>
        <v>5</v>
      </c>
      <c r="M247" s="4" t="str">
        <f aca="false">Raw_Data!M247</f>
        <v>Medium</v>
      </c>
      <c r="N247" s="4" t="str">
        <f aca="false">Raw_Data!N247</f>
        <v>Digital Gold</v>
      </c>
      <c r="O247" s="4" t="n">
        <f aca="false">Raw_Data!O247</f>
        <v>3</v>
      </c>
      <c r="P247" s="4" t="n">
        <f aca="false">Raw_Data!P247</f>
        <v>7</v>
      </c>
      <c r="Q247" s="4" t="str">
        <f aca="false">IF(OR(B247="",B247=0),"Unknown",IF(B247&lt;=25,"18-25",IF(B247&lt;=35,"26-35",IF(B247&lt;=45,"36-45","46+"))))</f>
        <v>36-45</v>
      </c>
      <c r="R247" s="4" t="n">
        <f aca="false">IF(F247="Below 20,000",10000,IF(F247="20,000-40,000",30000,IF(F247="40,000-60,000",50000,IF(F247="60,000-80,000",70000,IF(F247="Above 80,000",100000,0)))))</f>
        <v>50000</v>
      </c>
      <c r="S247" s="4" t="n">
        <f aca="false">IF(G247="Yes",1,0)</f>
        <v>1</v>
      </c>
    </row>
    <row r="248" customFormat="false" ht="15" hidden="false" customHeight="true" outlineLevel="0" collapsed="false">
      <c r="A248" s="3" t="str">
        <f aca="false">Raw_Data!A248</f>
        <v>R247</v>
      </c>
      <c r="B248" s="3" t="n">
        <f aca="false">Raw_Data!B248</f>
        <v>52</v>
      </c>
      <c r="C248" s="3" t="str">
        <f aca="false">Raw_Data!C248</f>
        <v>Female</v>
      </c>
      <c r="D248" s="3" t="str">
        <f aca="false">Raw_Data!D248</f>
        <v>Mumbai</v>
      </c>
      <c r="E248" s="3" t="str">
        <f aca="false">Raw_Data!E248</f>
        <v>Government Employee</v>
      </c>
      <c r="F248" s="3" t="str">
        <f aca="false">Raw_Data!F248</f>
        <v>40,000-60,000</v>
      </c>
      <c r="G248" s="3" t="str">
        <f aca="false">Raw_Data!G248</f>
        <v>No</v>
      </c>
      <c r="H248" s="3" t="n">
        <f aca="false">Raw_Data!H248</f>
        <v>0</v>
      </c>
      <c r="I248" s="3" t="n">
        <f aca="false">Raw_Data!I248</f>
        <v>0</v>
      </c>
      <c r="J248" s="3" t="n">
        <f aca="false">Raw_Data!J248</f>
        <v>0</v>
      </c>
      <c r="K248" s="3" t="n">
        <f aca="false">Raw_Data!K248</f>
        <v>0</v>
      </c>
      <c r="L248" s="3" t="n">
        <f aca="false">Raw_Data!L248</f>
        <v>2</v>
      </c>
      <c r="M248" s="3" t="str">
        <f aca="false">Raw_Data!M248</f>
        <v>Low</v>
      </c>
      <c r="N248" s="3" t="str">
        <f aca="false">Raw_Data!N248</f>
        <v>Mutual Funds</v>
      </c>
      <c r="O248" s="3" t="n">
        <f aca="false">Raw_Data!O248</f>
        <v>4</v>
      </c>
      <c r="P248" s="3" t="n">
        <f aca="false">Raw_Data!P248</f>
        <v>3</v>
      </c>
      <c r="Q248" s="3" t="str">
        <f aca="false">IF(OR(B248="",B248=0),"Unknown",IF(B248&lt;=25,"18-25",IF(B248&lt;=35,"26-35",IF(B248&lt;=45,"36-45","46+"))))</f>
        <v>46+</v>
      </c>
      <c r="R248" s="3" t="n">
        <f aca="false">IF(F248="Below 20,000",10000,IF(F248="20,000-40,000",30000,IF(F248="40,000-60,000",50000,IF(F248="60,000-80,000",70000,IF(F248="Above 80,000",100000,0)))))</f>
        <v>50000</v>
      </c>
      <c r="S248" s="3" t="n">
        <f aca="false">IF(G248="Yes",1,0)</f>
        <v>0</v>
      </c>
    </row>
    <row r="249" customFormat="false" ht="15" hidden="false" customHeight="true" outlineLevel="0" collapsed="false">
      <c r="A249" s="4" t="str">
        <f aca="false">Raw_Data!A249</f>
        <v>R248</v>
      </c>
      <c r="B249" s="4" t="n">
        <f aca="false">Raw_Data!B249</f>
        <v>38</v>
      </c>
      <c r="C249" s="4" t="str">
        <f aca="false">Raw_Data!C249</f>
        <v>Male</v>
      </c>
      <c r="D249" s="4" t="str">
        <f aca="false">Raw_Data!D249</f>
        <v>Chennai</v>
      </c>
      <c r="E249" s="4" t="str">
        <f aca="false">Raw_Data!E249</f>
        <v>Salaried</v>
      </c>
      <c r="F249" s="4" t="str">
        <f aca="false">Raw_Data!F249</f>
        <v>20,000-40,000</v>
      </c>
      <c r="G249" s="4" t="str">
        <f aca="false">Raw_Data!G249</f>
        <v>Yes</v>
      </c>
      <c r="H249" s="4" t="str">
        <f aca="false">Raw_Data!H249</f>
        <v>PhonePe</v>
      </c>
      <c r="I249" s="4" t="str">
        <f aca="false">Raw_Data!I249</f>
        <v>Quarterly</v>
      </c>
      <c r="J249" s="4" t="n">
        <f aca="false">Raw_Data!J249</f>
        <v>1889</v>
      </c>
      <c r="K249" s="4" t="str">
        <f aca="false">Raw_Data!K249</f>
        <v>Investment</v>
      </c>
      <c r="L249" s="4" t="n">
        <f aca="false">Raw_Data!L249</f>
        <v>3</v>
      </c>
      <c r="M249" s="4" t="str">
        <f aca="false">Raw_Data!M249</f>
        <v>Low</v>
      </c>
      <c r="N249" s="4" t="str">
        <f aca="false">Raw_Data!N249</f>
        <v>Fixed Deposit</v>
      </c>
      <c r="O249" s="4" t="n">
        <f aca="false">Raw_Data!O249</f>
        <v>1</v>
      </c>
      <c r="P249" s="4" t="n">
        <f aca="false">Raw_Data!P249</f>
        <v>9</v>
      </c>
      <c r="Q249" s="4" t="str">
        <f aca="false">IF(OR(B249="",B249=0),"Unknown",IF(B249&lt;=25,"18-25",IF(B249&lt;=35,"26-35",IF(B249&lt;=45,"36-45","46+"))))</f>
        <v>36-45</v>
      </c>
      <c r="R249" s="4" t="n">
        <f aca="false">IF(F249="Below 20,000",10000,IF(F249="20,000-40,000",30000,IF(F249="40,000-60,000",50000,IF(F249="60,000-80,000",70000,IF(F249="Above 80,000",100000,0)))))</f>
        <v>30000</v>
      </c>
      <c r="S249" s="4" t="n">
        <f aca="false">IF(G249="Yes",1,0)</f>
        <v>1</v>
      </c>
    </row>
    <row r="250" customFormat="false" ht="15" hidden="false" customHeight="true" outlineLevel="0" collapsed="false">
      <c r="A250" s="3" t="str">
        <f aca="false">Raw_Data!A250</f>
        <v>R249</v>
      </c>
      <c r="B250" s="3" t="n">
        <f aca="false">Raw_Data!B250</f>
        <v>0</v>
      </c>
      <c r="C250" s="3" t="str">
        <f aca="false">Raw_Data!C250</f>
        <v>Male</v>
      </c>
      <c r="D250" s="3" t="str">
        <f aca="false">Raw_Data!D250</f>
        <v>Kolkata</v>
      </c>
      <c r="E250" s="3" t="str">
        <f aca="false">Raw_Data!E250</f>
        <v>Student</v>
      </c>
      <c r="F250" s="3" t="str">
        <f aca="false">Raw_Data!F250</f>
        <v>Below 20,000</v>
      </c>
      <c r="G250" s="3" t="str">
        <f aca="false">Raw_Data!G250</f>
        <v>Yes</v>
      </c>
      <c r="H250" s="3" t="str">
        <f aca="false">Raw_Data!H250</f>
        <v>PhonePe</v>
      </c>
      <c r="I250" s="3" t="n">
        <f aca="false">Raw_Data!I250</f>
        <v>0</v>
      </c>
      <c r="J250" s="3" t="n">
        <f aca="false">Raw_Data!J250</f>
        <v>478</v>
      </c>
      <c r="K250" s="3" t="str">
        <f aca="false">Raw_Data!K250</f>
        <v>Savings</v>
      </c>
      <c r="L250" s="3" t="n">
        <f aca="false">Raw_Data!L250</f>
        <v>1</v>
      </c>
      <c r="M250" s="3" t="str">
        <f aca="false">Raw_Data!M250</f>
        <v>High</v>
      </c>
      <c r="N250" s="3" t="str">
        <f aca="false">Raw_Data!N250</f>
        <v>Digital Gold</v>
      </c>
      <c r="O250" s="3" t="n">
        <f aca="false">Raw_Data!O250</f>
        <v>5</v>
      </c>
      <c r="P250" s="3" t="n">
        <f aca="false">Raw_Data!P250</f>
        <v>2</v>
      </c>
      <c r="Q250" s="3" t="str">
        <f aca="false">IF(OR(B250="",B250=0),"Unknown",IF(B250&lt;=25,"18-25",IF(B250&lt;=35,"26-35",IF(B250&lt;=45,"36-45","46+"))))</f>
        <v>Unknown</v>
      </c>
      <c r="R250" s="3" t="n">
        <f aca="false">IF(F250="Below 20,000",10000,IF(F250="20,000-40,000",30000,IF(F250="40,000-60,000",50000,IF(F250="60,000-80,000",70000,IF(F250="Above 80,000",100000,0)))))</f>
        <v>10000</v>
      </c>
      <c r="S250" s="3" t="n">
        <f aca="false">IF(G250="Yes",1,0)</f>
        <v>1</v>
      </c>
    </row>
    <row r="251" customFormat="false" ht="15" hidden="false" customHeight="true" outlineLevel="0" collapsed="false">
      <c r="A251" s="4" t="str">
        <f aca="false">Raw_Data!A251</f>
        <v>R250</v>
      </c>
      <c r="B251" s="4" t="n">
        <f aca="false">Raw_Data!B251</f>
        <v>47</v>
      </c>
      <c r="C251" s="4" t="str">
        <f aca="false">Raw_Data!C251</f>
        <v>Male</v>
      </c>
      <c r="D251" s="4" t="str">
        <f aca="false">Raw_Data!D251</f>
        <v>Chennai</v>
      </c>
      <c r="E251" s="4" t="str">
        <f aca="false">Raw_Data!E251</f>
        <v>Homemaker</v>
      </c>
      <c r="F251" s="4" t="str">
        <f aca="false">Raw_Data!F251</f>
        <v>Below 20,000</v>
      </c>
      <c r="G251" s="4" t="str">
        <f aca="false">Raw_Data!G251</f>
        <v>No</v>
      </c>
      <c r="H251" s="4" t="n">
        <f aca="false">Raw_Data!H251</f>
        <v>0</v>
      </c>
      <c r="I251" s="4" t="n">
        <f aca="false">Raw_Data!I251</f>
        <v>0</v>
      </c>
      <c r="J251" s="4" t="n">
        <f aca="false">Raw_Data!J251</f>
        <v>0</v>
      </c>
      <c r="K251" s="4" t="n">
        <f aca="false">Raw_Data!K251</f>
        <v>0</v>
      </c>
      <c r="L251" s="4" t="n">
        <f aca="false">Raw_Data!L251</f>
        <v>2</v>
      </c>
      <c r="M251" s="4" t="str">
        <f aca="false">Raw_Data!M251</f>
        <v>High</v>
      </c>
      <c r="N251" s="4" t="str">
        <f aca="false">Raw_Data!N251</f>
        <v>Physical Gold</v>
      </c>
      <c r="O251" s="4" t="n">
        <f aca="false">Raw_Data!O251</f>
        <v>1</v>
      </c>
      <c r="P251" s="4" t="n">
        <f aca="false">Raw_Data!P251</f>
        <v>8</v>
      </c>
      <c r="Q251" s="4" t="str">
        <f aca="false">IF(OR(B251="",B251=0),"Unknown",IF(B251&lt;=25,"18-25",IF(B251&lt;=35,"26-35",IF(B251&lt;=45,"36-45","46+"))))</f>
        <v>46+</v>
      </c>
      <c r="R251" s="4" t="n">
        <f aca="false">IF(F251="Below 20,000",10000,IF(F251="20,000-40,000",30000,IF(F251="40,000-60,000",50000,IF(F251="60,000-80,000",70000,IF(F251="Above 80,000",100000,0)))))</f>
        <v>10000</v>
      </c>
      <c r="S251" s="4" t="n">
        <f aca="false">IF(G251="Yes",1,0)</f>
        <v>0</v>
      </c>
    </row>
    <row r="252" customFormat="false" ht="15" hidden="false" customHeight="true" outlineLevel="0" collapsed="false">
      <c r="A252" s="3" t="str">
        <f aca="false">Raw_Data!A252</f>
        <v>R251</v>
      </c>
      <c r="B252" s="3" t="n">
        <f aca="false">Raw_Data!B252</f>
        <v>27</v>
      </c>
      <c r="C252" s="3" t="str">
        <f aca="false">Raw_Data!C252</f>
        <v>Female</v>
      </c>
      <c r="D252" s="3" t="str">
        <f aca="false">Raw_Data!D252</f>
        <v>Ahmedabad</v>
      </c>
      <c r="E252" s="3" t="str">
        <f aca="false">Raw_Data!E252</f>
        <v>Homemaker</v>
      </c>
      <c r="F252" s="3" t="str">
        <f aca="false">Raw_Data!F252</f>
        <v>Below 20,000</v>
      </c>
      <c r="G252" s="3" t="str">
        <f aca="false">Raw_Data!G252</f>
        <v>Yes</v>
      </c>
      <c r="H252" s="3" t="str">
        <f aca="false">Raw_Data!H252</f>
        <v>Others</v>
      </c>
      <c r="I252" s="3" t="str">
        <f aca="false">Raw_Data!I252</f>
        <v>Monthly</v>
      </c>
      <c r="J252" s="3" t="n">
        <f aca="false">Raw_Data!J252</f>
        <v>981</v>
      </c>
      <c r="K252" s="3" t="str">
        <f aca="false">Raw_Data!K252</f>
        <v>Investment</v>
      </c>
      <c r="L252" s="3" t="n">
        <f aca="false">Raw_Data!L252</f>
        <v>5</v>
      </c>
      <c r="M252" s="3" t="str">
        <f aca="false">Raw_Data!M252</f>
        <v>High</v>
      </c>
      <c r="N252" s="3" t="str">
        <f aca="false">Raw_Data!N252</f>
        <v>Physical Gold</v>
      </c>
      <c r="O252" s="3" t="n">
        <f aca="false">Raw_Data!O252</f>
        <v>1</v>
      </c>
      <c r="P252" s="3" t="n">
        <f aca="false">Raw_Data!P252</f>
        <v>4</v>
      </c>
      <c r="Q252" s="3" t="str">
        <f aca="false">IF(OR(B252="",B252=0),"Unknown",IF(B252&lt;=25,"18-25",IF(B252&lt;=35,"26-35",IF(B252&lt;=45,"36-45","46+"))))</f>
        <v>26-35</v>
      </c>
      <c r="R252" s="3" t="n">
        <f aca="false">IF(F252="Below 20,000",10000,IF(F252="20,000-40,000",30000,IF(F252="40,000-60,000",50000,IF(F252="60,000-80,000",70000,IF(F252="Above 80,000",100000,0)))))</f>
        <v>10000</v>
      </c>
      <c r="S252" s="3" t="n">
        <f aca="false">IF(G252="Yes",1,0)</f>
        <v>1</v>
      </c>
    </row>
    <row r="253" customFormat="false" ht="15" hidden="false" customHeight="true" outlineLevel="0" collapsed="false">
      <c r="A253" s="4" t="str">
        <f aca="false">Raw_Data!A253</f>
        <v>R252</v>
      </c>
      <c r="B253" s="4" t="n">
        <f aca="false">Raw_Data!B253</f>
        <v>45</v>
      </c>
      <c r="C253" s="4" t="str">
        <f aca="false">Raw_Data!C253</f>
        <v>Female</v>
      </c>
      <c r="D253" s="4" t="str">
        <f aca="false">Raw_Data!D253</f>
        <v>Bangalore</v>
      </c>
      <c r="E253" s="4" t="str">
        <f aca="false">Raw_Data!E253</f>
        <v>Student</v>
      </c>
      <c r="F253" s="4" t="str">
        <f aca="false">Raw_Data!F253</f>
        <v>20,000-40,000</v>
      </c>
      <c r="G253" s="4" t="str">
        <f aca="false">Raw_Data!G253</f>
        <v>Yes</v>
      </c>
      <c r="H253" s="4" t="str">
        <f aca="false">Raw_Data!H253</f>
        <v>Others</v>
      </c>
      <c r="I253" s="4" t="str">
        <f aca="false">Raw_Data!I253</f>
        <v>Rarely</v>
      </c>
      <c r="J253" s="4" t="n">
        <f aca="false">Raw_Data!J253</f>
        <v>3592</v>
      </c>
      <c r="K253" s="4" t="str">
        <f aca="false">Raw_Data!K253</f>
        <v>Gifting</v>
      </c>
      <c r="L253" s="4" t="n">
        <f aca="false">Raw_Data!L253</f>
        <v>3</v>
      </c>
      <c r="M253" s="4" t="str">
        <f aca="false">Raw_Data!M253</f>
        <v>High</v>
      </c>
      <c r="N253" s="4" t="str">
        <f aca="false">Raw_Data!N253</f>
        <v>Digital Gold</v>
      </c>
      <c r="O253" s="4" t="n">
        <f aca="false">Raw_Data!O253</f>
        <v>5</v>
      </c>
      <c r="P253" s="4" t="n">
        <f aca="false">Raw_Data!P253</f>
        <v>5</v>
      </c>
      <c r="Q253" s="4" t="str">
        <f aca="false">IF(OR(B253="",B253=0),"Unknown",IF(B253&lt;=25,"18-25",IF(B253&lt;=35,"26-35",IF(B253&lt;=45,"36-45","46+"))))</f>
        <v>36-45</v>
      </c>
      <c r="R253" s="4" t="n">
        <f aca="false">IF(F253="Below 20,000",10000,IF(F253="20,000-40,000",30000,IF(F253="40,000-60,000",50000,IF(F253="60,000-80,000",70000,IF(F253="Above 80,000",100000,0)))))</f>
        <v>30000</v>
      </c>
      <c r="S253" s="4" t="n">
        <f aca="false">IF(G253="Yes",1,0)</f>
        <v>1</v>
      </c>
    </row>
    <row r="254" customFormat="false" ht="15" hidden="false" customHeight="true" outlineLevel="0" collapsed="false">
      <c r="A254" s="3" t="str">
        <f aca="false">Raw_Data!A254</f>
        <v>R253</v>
      </c>
      <c r="B254" s="3" t="n">
        <f aca="false">Raw_Data!B254</f>
        <v>43</v>
      </c>
      <c r="C254" s="3" t="str">
        <f aca="false">Raw_Data!C254</f>
        <v>Female</v>
      </c>
      <c r="D254" s="3" t="str">
        <f aca="false">Raw_Data!D254</f>
        <v>Lucknow</v>
      </c>
      <c r="E254" s="3" t="str">
        <f aca="false">Raw_Data!E254</f>
        <v>Salaried</v>
      </c>
      <c r="F254" s="3" t="str">
        <f aca="false">Raw_Data!F254</f>
        <v>40,000-60,000</v>
      </c>
      <c r="G254" s="3" t="str">
        <f aca="false">Raw_Data!G254</f>
        <v>Yes</v>
      </c>
      <c r="H254" s="3" t="str">
        <f aca="false">Raw_Data!H254</f>
        <v>Google Pay</v>
      </c>
      <c r="I254" s="3" t="str">
        <f aca="false">Raw_Data!I254</f>
        <v>Quarterly</v>
      </c>
      <c r="J254" s="3" t="n">
        <f aca="false">Raw_Data!J254</f>
        <v>2250</v>
      </c>
      <c r="K254" s="3" t="str">
        <f aca="false">Raw_Data!K254</f>
        <v>Savings</v>
      </c>
      <c r="L254" s="3" t="n">
        <f aca="false">Raw_Data!L254</f>
        <v>5</v>
      </c>
      <c r="M254" s="3" t="str">
        <f aca="false">Raw_Data!M254</f>
        <v>Low</v>
      </c>
      <c r="N254" s="3" t="str">
        <f aca="false">Raw_Data!N254</f>
        <v>Digital Gold</v>
      </c>
      <c r="O254" s="3" t="n">
        <f aca="false">Raw_Data!O254</f>
        <v>3</v>
      </c>
      <c r="P254" s="3" t="n">
        <f aca="false">Raw_Data!P254</f>
        <v>4</v>
      </c>
      <c r="Q254" s="3" t="str">
        <f aca="false">IF(OR(B254="",B254=0),"Unknown",IF(B254&lt;=25,"18-25",IF(B254&lt;=35,"26-35",IF(B254&lt;=45,"36-45","46+"))))</f>
        <v>36-45</v>
      </c>
      <c r="R254" s="3" t="n">
        <f aca="false">IF(F254="Below 20,000",10000,IF(F254="20,000-40,000",30000,IF(F254="40,000-60,000",50000,IF(F254="60,000-80,000",70000,IF(F254="Above 80,000",100000,0)))))</f>
        <v>50000</v>
      </c>
      <c r="S254" s="3" t="n">
        <f aca="false">IF(G254="Yes",1,0)</f>
        <v>1</v>
      </c>
    </row>
    <row r="255" customFormat="false" ht="15" hidden="false" customHeight="true" outlineLevel="0" collapsed="false">
      <c r="A255" s="4" t="str">
        <f aca="false">Raw_Data!A255</f>
        <v>R254</v>
      </c>
      <c r="B255" s="4" t="n">
        <f aca="false">Raw_Data!B255</f>
        <v>31</v>
      </c>
      <c r="C255" s="4" t="str">
        <f aca="false">Raw_Data!C255</f>
        <v>Female</v>
      </c>
      <c r="D255" s="4" t="str">
        <f aca="false">Raw_Data!D255</f>
        <v>Kolkata</v>
      </c>
      <c r="E255" s="4" t="str">
        <f aca="false">Raw_Data!E255</f>
        <v>Student</v>
      </c>
      <c r="F255" s="4" t="str">
        <f aca="false">Raw_Data!F255</f>
        <v>Below 20,000</v>
      </c>
      <c r="G255" s="4" t="str">
        <f aca="false">Raw_Data!G255</f>
        <v>No</v>
      </c>
      <c r="H255" s="4" t="n">
        <f aca="false">Raw_Data!H255</f>
        <v>0</v>
      </c>
      <c r="I255" s="4" t="n">
        <f aca="false">Raw_Data!I255</f>
        <v>0</v>
      </c>
      <c r="J255" s="4" t="n">
        <f aca="false">Raw_Data!J255</f>
        <v>0</v>
      </c>
      <c r="K255" s="4" t="n">
        <f aca="false">Raw_Data!K255</f>
        <v>0</v>
      </c>
      <c r="L255" s="4" t="n">
        <f aca="false">Raw_Data!L255</f>
        <v>2</v>
      </c>
      <c r="M255" s="4" t="str">
        <f aca="false">Raw_Data!M255</f>
        <v>High</v>
      </c>
      <c r="N255" s="4" t="str">
        <f aca="false">Raw_Data!N255</f>
        <v>Mutual Funds</v>
      </c>
      <c r="O255" s="4" t="n">
        <f aca="false">Raw_Data!O255</f>
        <v>5</v>
      </c>
      <c r="P255" s="4" t="n">
        <f aca="false">Raw_Data!P255</f>
        <v>7</v>
      </c>
      <c r="Q255" s="4" t="str">
        <f aca="false">IF(OR(B255="",B255=0),"Unknown",IF(B255&lt;=25,"18-25",IF(B255&lt;=35,"26-35",IF(B255&lt;=45,"36-45","46+"))))</f>
        <v>26-35</v>
      </c>
      <c r="R255" s="4" t="n">
        <f aca="false">IF(F255="Below 20,000",10000,IF(F255="20,000-40,000",30000,IF(F255="40,000-60,000",50000,IF(F255="60,000-80,000",70000,IF(F255="Above 80,000",100000,0)))))</f>
        <v>10000</v>
      </c>
      <c r="S255" s="4" t="n">
        <f aca="false">IF(G255="Yes",1,0)</f>
        <v>0</v>
      </c>
    </row>
    <row r="256" customFormat="false" ht="15" hidden="false" customHeight="true" outlineLevel="0" collapsed="false">
      <c r="A256" s="3" t="str">
        <f aca="false">Raw_Data!A256</f>
        <v>R255</v>
      </c>
      <c r="B256" s="3" t="n">
        <f aca="false">Raw_Data!B256</f>
        <v>53</v>
      </c>
      <c r="C256" s="3" t="str">
        <f aca="false">Raw_Data!C256</f>
        <v>Male</v>
      </c>
      <c r="D256" s="3" t="str">
        <f aca="false">Raw_Data!D256</f>
        <v>Chennai</v>
      </c>
      <c r="E256" s="3" t="str">
        <f aca="false">Raw_Data!E256</f>
        <v>Salaried</v>
      </c>
      <c r="F256" s="3" t="str">
        <f aca="false">Raw_Data!F256</f>
        <v>60,000-80,000</v>
      </c>
      <c r="G256" s="3" t="str">
        <f aca="false">Raw_Data!G256</f>
        <v>Yes</v>
      </c>
      <c r="H256" s="3" t="str">
        <f aca="false">Raw_Data!H256</f>
        <v>Google Pay</v>
      </c>
      <c r="I256" s="3" t="str">
        <f aca="false">Raw_Data!I256</f>
        <v>Monthly</v>
      </c>
      <c r="J256" s="3" t="n">
        <f aca="false">Raw_Data!J256</f>
        <v>14004</v>
      </c>
      <c r="K256" s="3" t="str">
        <f aca="false">Raw_Data!K256</f>
        <v>Investment</v>
      </c>
      <c r="L256" s="3" t="n">
        <f aca="false">Raw_Data!L256</f>
        <v>3</v>
      </c>
      <c r="M256" s="3" t="str">
        <f aca="false">Raw_Data!M256</f>
        <v>Low</v>
      </c>
      <c r="N256" s="3" t="str">
        <f aca="false">Raw_Data!N256</f>
        <v>Physical Gold</v>
      </c>
      <c r="O256" s="3" t="n">
        <f aca="false">Raw_Data!O256</f>
        <v>5</v>
      </c>
      <c r="P256" s="3" t="n">
        <f aca="false">Raw_Data!P256</f>
        <v>8</v>
      </c>
      <c r="Q256" s="3" t="str">
        <f aca="false">IF(OR(B256="",B256=0),"Unknown",IF(B256&lt;=25,"18-25",IF(B256&lt;=35,"26-35",IF(B256&lt;=45,"36-45","46+"))))</f>
        <v>46+</v>
      </c>
      <c r="R256" s="3" t="n">
        <f aca="false">IF(F256="Below 20,000",10000,IF(F256="20,000-40,000",30000,IF(F256="40,000-60,000",50000,IF(F256="60,000-80,000",70000,IF(F256="Above 80,000",100000,0)))))</f>
        <v>70000</v>
      </c>
      <c r="S256" s="3" t="n">
        <f aca="false">IF(G256="Yes",1,0)</f>
        <v>1</v>
      </c>
    </row>
    <row r="257" customFormat="false" ht="15" hidden="false" customHeight="true" outlineLevel="0" collapsed="false">
      <c r="A257" s="4" t="str">
        <f aca="false">Raw_Data!A257</f>
        <v>R256</v>
      </c>
      <c r="B257" s="4" t="n">
        <f aca="false">Raw_Data!B257</f>
        <v>41</v>
      </c>
      <c r="C257" s="4" t="str">
        <f aca="false">Raw_Data!C257</f>
        <v>Female</v>
      </c>
      <c r="D257" s="4" t="str">
        <f aca="false">Raw_Data!D257</f>
        <v>Jaipur</v>
      </c>
      <c r="E257" s="4" t="str">
        <f aca="false">Raw_Data!E257</f>
        <v>Salaried</v>
      </c>
      <c r="F257" s="4" t="str">
        <f aca="false">Raw_Data!F257</f>
        <v>Above 80,000</v>
      </c>
      <c r="G257" s="4" t="str">
        <f aca="false">Raw_Data!G257</f>
        <v>Yes</v>
      </c>
      <c r="H257" s="4" t="str">
        <f aca="false">Raw_Data!H257</f>
        <v>Paytm</v>
      </c>
      <c r="I257" s="4" t="str">
        <f aca="false">Raw_Data!I257</f>
        <v>Weekly</v>
      </c>
      <c r="J257" s="4" t="n">
        <f aca="false">Raw_Data!J257</f>
        <v>13757</v>
      </c>
      <c r="K257" s="4" t="str">
        <f aca="false">Raw_Data!K257</f>
        <v>Investment</v>
      </c>
      <c r="L257" s="4" t="n">
        <f aca="false">Raw_Data!L257</f>
        <v>1</v>
      </c>
      <c r="M257" s="4" t="str">
        <f aca="false">Raw_Data!M257</f>
        <v>Medium</v>
      </c>
      <c r="N257" s="4" t="str">
        <f aca="false">Raw_Data!N257</f>
        <v>Digital Gold</v>
      </c>
      <c r="O257" s="4" t="n">
        <f aca="false">Raw_Data!O257</f>
        <v>5</v>
      </c>
      <c r="P257" s="4" t="n">
        <f aca="false">Raw_Data!P257</f>
        <v>6</v>
      </c>
      <c r="Q257" s="4" t="str">
        <f aca="false">IF(OR(B257="",B257=0),"Unknown",IF(B257&lt;=25,"18-25",IF(B257&lt;=35,"26-35",IF(B257&lt;=45,"36-45","46+"))))</f>
        <v>36-45</v>
      </c>
      <c r="R257" s="4" t="n">
        <f aca="false">IF(F257="Below 20,000",10000,IF(F257="20,000-40,000",30000,IF(F257="40,000-60,000",50000,IF(F257="60,000-80,000",70000,IF(F257="Above 80,000",100000,0)))))</f>
        <v>100000</v>
      </c>
      <c r="S257" s="4" t="n">
        <f aca="false">IF(G257="Yes",1,0)</f>
        <v>1</v>
      </c>
    </row>
    <row r="258" customFormat="false" ht="15" hidden="false" customHeight="true" outlineLevel="0" collapsed="false">
      <c r="A258" s="3" t="str">
        <f aca="false">Raw_Data!A258</f>
        <v>R257</v>
      </c>
      <c r="B258" s="3" t="n">
        <f aca="false">Raw_Data!B258</f>
        <v>49</v>
      </c>
      <c r="C258" s="3" t="str">
        <f aca="false">Raw_Data!C258</f>
        <v>Male</v>
      </c>
      <c r="D258" s="3" t="str">
        <f aca="false">Raw_Data!D258</f>
        <v>Ahmedabad</v>
      </c>
      <c r="E258" s="3" t="str">
        <f aca="false">Raw_Data!E258</f>
        <v>Government Employee</v>
      </c>
      <c r="F258" s="3" t="str">
        <f aca="false">Raw_Data!F258</f>
        <v>40,000-60,000</v>
      </c>
      <c r="G258" s="3" t="str">
        <f aca="false">Raw_Data!G258</f>
        <v>Yes</v>
      </c>
      <c r="H258" s="3" t="str">
        <f aca="false">Raw_Data!H258</f>
        <v>Others</v>
      </c>
      <c r="I258" s="3" t="str">
        <f aca="false">Raw_Data!I258</f>
        <v>Rarely</v>
      </c>
      <c r="J258" s="3" t="n">
        <f aca="false">Raw_Data!J258</f>
        <v>1890</v>
      </c>
      <c r="K258" s="3" t="str">
        <f aca="false">Raw_Data!K258</f>
        <v>Investment</v>
      </c>
      <c r="L258" s="3" t="n">
        <f aca="false">Raw_Data!L258</f>
        <v>1</v>
      </c>
      <c r="M258" s="3" t="str">
        <f aca="false">Raw_Data!M258</f>
        <v>High</v>
      </c>
      <c r="N258" s="3" t="str">
        <f aca="false">Raw_Data!N258</f>
        <v>Physical Gold</v>
      </c>
      <c r="O258" s="3" t="n">
        <f aca="false">Raw_Data!O258</f>
        <v>1</v>
      </c>
      <c r="P258" s="3" t="n">
        <f aca="false">Raw_Data!P258</f>
        <v>4</v>
      </c>
      <c r="Q258" s="3" t="str">
        <f aca="false">IF(OR(B258="",B258=0),"Unknown",IF(B258&lt;=25,"18-25",IF(B258&lt;=35,"26-35",IF(B258&lt;=45,"36-45","46+"))))</f>
        <v>46+</v>
      </c>
      <c r="R258" s="3" t="n">
        <f aca="false">IF(F258="Below 20,000",10000,IF(F258="20,000-40,000",30000,IF(F258="40,000-60,000",50000,IF(F258="60,000-80,000",70000,IF(F258="Above 80,000",100000,0)))))</f>
        <v>50000</v>
      </c>
      <c r="S258" s="3" t="n">
        <f aca="false">IF(G258="Yes",1,0)</f>
        <v>1</v>
      </c>
    </row>
    <row r="259" customFormat="false" ht="15" hidden="false" customHeight="true" outlineLevel="0" collapsed="false">
      <c r="A259" s="4" t="str">
        <f aca="false">Raw_Data!A259</f>
        <v>R258</v>
      </c>
      <c r="B259" s="4" t="n">
        <f aca="false">Raw_Data!B259</f>
        <v>0</v>
      </c>
      <c r="C259" s="4" t="str">
        <f aca="false">Raw_Data!C259</f>
        <v>Male</v>
      </c>
      <c r="D259" s="4" t="str">
        <f aca="false">Raw_Data!D259</f>
        <v>Delhi</v>
      </c>
      <c r="E259" s="4" t="str">
        <f aca="false">Raw_Data!E259</f>
        <v>Business</v>
      </c>
      <c r="F259" s="4" t="str">
        <f aca="false">Raw_Data!F259</f>
        <v>Above 80,000</v>
      </c>
      <c r="G259" s="4" t="str">
        <f aca="false">Raw_Data!G259</f>
        <v>Yes</v>
      </c>
      <c r="H259" s="4" t="str">
        <f aca="false">Raw_Data!H259</f>
        <v>PhonePe</v>
      </c>
      <c r="I259" s="4" t="str">
        <f aca="false">Raw_Data!I259</f>
        <v>Quarterly</v>
      </c>
      <c r="J259" s="4" t="n">
        <f aca="false">Raw_Data!J259</f>
        <v>23683</v>
      </c>
      <c r="K259" s="4" t="str">
        <f aca="false">Raw_Data!K259</f>
        <v>Savings</v>
      </c>
      <c r="L259" s="4" t="n">
        <f aca="false">Raw_Data!L259</f>
        <v>1</v>
      </c>
      <c r="M259" s="4" t="str">
        <f aca="false">Raw_Data!M259</f>
        <v>Medium</v>
      </c>
      <c r="N259" s="4" t="str">
        <f aca="false">Raw_Data!N259</f>
        <v>Mutual Funds</v>
      </c>
      <c r="O259" s="4" t="n">
        <f aca="false">Raw_Data!O259</f>
        <v>3</v>
      </c>
      <c r="P259" s="4" t="n">
        <f aca="false">Raw_Data!P259</f>
        <v>7</v>
      </c>
      <c r="Q259" s="4" t="str">
        <f aca="false">IF(OR(B259="",B259=0),"Unknown",IF(B259&lt;=25,"18-25",IF(B259&lt;=35,"26-35",IF(B259&lt;=45,"36-45","46+"))))</f>
        <v>Unknown</v>
      </c>
      <c r="R259" s="4" t="n">
        <f aca="false">IF(F259="Below 20,000",10000,IF(F259="20,000-40,000",30000,IF(F259="40,000-60,000",50000,IF(F259="60,000-80,000",70000,IF(F259="Above 80,000",100000,0)))))</f>
        <v>100000</v>
      </c>
      <c r="S259" s="4" t="n">
        <f aca="false">IF(G259="Yes",1,0)</f>
        <v>1</v>
      </c>
    </row>
    <row r="260" customFormat="false" ht="15" hidden="false" customHeight="true" outlineLevel="0" collapsed="false">
      <c r="A260" s="3" t="str">
        <f aca="false">Raw_Data!A260</f>
        <v>R259</v>
      </c>
      <c r="B260" s="3" t="n">
        <f aca="false">Raw_Data!B260</f>
        <v>58</v>
      </c>
      <c r="C260" s="3" t="str">
        <f aca="false">Raw_Data!C260</f>
        <v>Female</v>
      </c>
      <c r="D260" s="3" t="str">
        <f aca="false">Raw_Data!D260</f>
        <v>Pune</v>
      </c>
      <c r="E260" s="3" t="str">
        <f aca="false">Raw_Data!E260</f>
        <v>Student</v>
      </c>
      <c r="F260" s="3" t="str">
        <f aca="false">Raw_Data!F260</f>
        <v>20,000-40,000</v>
      </c>
      <c r="G260" s="3" t="str">
        <f aca="false">Raw_Data!G260</f>
        <v>No</v>
      </c>
      <c r="H260" s="3" t="n">
        <f aca="false">Raw_Data!H260</f>
        <v>0</v>
      </c>
      <c r="I260" s="3" t="n">
        <f aca="false">Raw_Data!I260</f>
        <v>0</v>
      </c>
      <c r="J260" s="3" t="n">
        <f aca="false">Raw_Data!J260</f>
        <v>0</v>
      </c>
      <c r="K260" s="3" t="n">
        <f aca="false">Raw_Data!K260</f>
        <v>0</v>
      </c>
      <c r="L260" s="3" t="n">
        <f aca="false">Raw_Data!L260</f>
        <v>3</v>
      </c>
      <c r="M260" s="3" t="str">
        <f aca="false">Raw_Data!M260</f>
        <v>Medium</v>
      </c>
      <c r="N260" s="3" t="str">
        <f aca="false">Raw_Data!N260</f>
        <v>Fixed Deposit</v>
      </c>
      <c r="O260" s="3" t="n">
        <f aca="false">Raw_Data!O260</f>
        <v>5</v>
      </c>
      <c r="P260" s="3" t="n">
        <f aca="false">Raw_Data!P260</f>
        <v>10</v>
      </c>
      <c r="Q260" s="3" t="str">
        <f aca="false">IF(OR(B260="",B260=0),"Unknown",IF(B260&lt;=25,"18-25",IF(B260&lt;=35,"26-35",IF(B260&lt;=45,"36-45","46+"))))</f>
        <v>46+</v>
      </c>
      <c r="R260" s="3" t="n">
        <f aca="false">IF(F260="Below 20,000",10000,IF(F260="20,000-40,000",30000,IF(F260="40,000-60,000",50000,IF(F260="60,000-80,000",70000,IF(F260="Above 80,000",100000,0)))))</f>
        <v>30000</v>
      </c>
      <c r="S260" s="3" t="n">
        <f aca="false">IF(G260="Yes",1,0)</f>
        <v>0</v>
      </c>
    </row>
    <row r="261" customFormat="false" ht="15" hidden="false" customHeight="true" outlineLevel="0" collapsed="false">
      <c r="A261" s="4" t="str">
        <f aca="false">Raw_Data!A261</f>
        <v>R260</v>
      </c>
      <c r="B261" s="4" t="n">
        <f aca="false">Raw_Data!B261</f>
        <v>57</v>
      </c>
      <c r="C261" s="4" t="str">
        <f aca="false">Raw_Data!C261</f>
        <v>Male</v>
      </c>
      <c r="D261" s="4" t="str">
        <f aca="false">Raw_Data!D261</f>
        <v>Mumbai</v>
      </c>
      <c r="E261" s="4" t="str">
        <f aca="false">Raw_Data!E261</f>
        <v>Salaried</v>
      </c>
      <c r="F261" s="4" t="str">
        <f aca="false">Raw_Data!F261</f>
        <v>Above 80,000</v>
      </c>
      <c r="G261" s="4" t="str">
        <f aca="false">Raw_Data!G261</f>
        <v>Yes</v>
      </c>
      <c r="H261" s="4" t="str">
        <f aca="false">Raw_Data!H261</f>
        <v>Zerodha</v>
      </c>
      <c r="I261" s="4" t="str">
        <f aca="false">Raw_Data!I261</f>
        <v>Daily</v>
      </c>
      <c r="J261" s="4" t="n">
        <f aca="false">Raw_Data!J261</f>
        <v>25955</v>
      </c>
      <c r="K261" s="4" t="str">
        <f aca="false">Raw_Data!K261</f>
        <v>Gifting</v>
      </c>
      <c r="L261" s="4" t="n">
        <f aca="false">Raw_Data!L261</f>
        <v>0</v>
      </c>
      <c r="M261" s="4" t="str">
        <f aca="false">Raw_Data!M261</f>
        <v>Low</v>
      </c>
      <c r="N261" s="4" t="str">
        <f aca="false">Raw_Data!N261</f>
        <v>Mutual Funds</v>
      </c>
      <c r="O261" s="4" t="n">
        <f aca="false">Raw_Data!O261</f>
        <v>3</v>
      </c>
      <c r="P261" s="4" t="n">
        <f aca="false">Raw_Data!P261</f>
        <v>6</v>
      </c>
      <c r="Q261" s="4" t="str">
        <f aca="false">IF(OR(B261="",B261=0),"Unknown",IF(B261&lt;=25,"18-25",IF(B261&lt;=35,"26-35",IF(B261&lt;=45,"36-45","46+"))))</f>
        <v>46+</v>
      </c>
      <c r="R261" s="4" t="n">
        <f aca="false">IF(F261="Below 20,000",10000,IF(F261="20,000-40,000",30000,IF(F261="40,000-60,000",50000,IF(F261="60,000-80,000",70000,IF(F261="Above 80,000",100000,0)))))</f>
        <v>100000</v>
      </c>
      <c r="S261" s="4" t="n">
        <f aca="false">IF(G261="Yes",1,0)</f>
        <v>1</v>
      </c>
    </row>
    <row r="262" customFormat="false" ht="15" hidden="false" customHeight="true" outlineLevel="0" collapsed="false">
      <c r="A262" s="3" t="str">
        <f aca="false">Raw_Data!A262</f>
        <v>R261</v>
      </c>
      <c r="B262" s="3" t="n">
        <f aca="false">Raw_Data!B262</f>
        <v>46</v>
      </c>
      <c r="C262" s="3" t="str">
        <f aca="false">Raw_Data!C262</f>
        <v>Male</v>
      </c>
      <c r="D262" s="3" t="str">
        <f aca="false">Raw_Data!D262</f>
        <v>Jaipur</v>
      </c>
      <c r="E262" s="3" t="str">
        <f aca="false">Raw_Data!E262</f>
        <v>Freelancer</v>
      </c>
      <c r="F262" s="3" t="str">
        <f aca="false">Raw_Data!F262</f>
        <v>60,000-80,000</v>
      </c>
      <c r="G262" s="3" t="str">
        <f aca="false">Raw_Data!G262</f>
        <v>Yes</v>
      </c>
      <c r="H262" s="3" t="str">
        <f aca="false">Raw_Data!H262</f>
        <v>Others</v>
      </c>
      <c r="I262" s="3" t="str">
        <f aca="false">Raw_Data!I262</f>
        <v>Monthly</v>
      </c>
      <c r="J262" s="3" t="n">
        <f aca="false">Raw_Data!J262</f>
        <v>12244</v>
      </c>
      <c r="K262" s="3" t="str">
        <f aca="false">Raw_Data!K262</f>
        <v>Investment</v>
      </c>
      <c r="L262" s="3" t="n">
        <f aca="false">Raw_Data!L262</f>
        <v>2</v>
      </c>
      <c r="M262" s="3" t="str">
        <f aca="false">Raw_Data!M262</f>
        <v>High</v>
      </c>
      <c r="N262" s="3" t="str">
        <f aca="false">Raw_Data!N262</f>
        <v>Digital Gold</v>
      </c>
      <c r="O262" s="3" t="n">
        <f aca="false">Raw_Data!O262</f>
        <v>1</v>
      </c>
      <c r="P262" s="3" t="n">
        <f aca="false">Raw_Data!P262</f>
        <v>2</v>
      </c>
      <c r="Q262" s="3" t="str">
        <f aca="false">IF(OR(B262="",B262=0),"Unknown",IF(B262&lt;=25,"18-25",IF(B262&lt;=35,"26-35",IF(B262&lt;=45,"36-45","46+"))))</f>
        <v>46+</v>
      </c>
      <c r="R262" s="3" t="n">
        <f aca="false">IF(F262="Below 20,000",10000,IF(F262="20,000-40,000",30000,IF(F262="40,000-60,000",50000,IF(F262="60,000-80,000",70000,IF(F262="Above 80,000",100000,0)))))</f>
        <v>70000</v>
      </c>
      <c r="S262" s="3" t="n">
        <f aca="false">IF(G262="Yes",1,0)</f>
        <v>1</v>
      </c>
    </row>
    <row r="263" customFormat="false" ht="15" hidden="false" customHeight="true" outlineLevel="0" collapsed="false">
      <c r="A263" s="4" t="str">
        <f aca="false">Raw_Data!A263</f>
        <v>R262</v>
      </c>
      <c r="B263" s="4" t="n">
        <f aca="false">Raw_Data!B263</f>
        <v>23</v>
      </c>
      <c r="C263" s="4" t="str">
        <f aca="false">Raw_Data!C263</f>
        <v>Male</v>
      </c>
      <c r="D263" s="4" t="str">
        <f aca="false">Raw_Data!D263</f>
        <v>Lucknow</v>
      </c>
      <c r="E263" s="4" t="str">
        <f aca="false">Raw_Data!E263</f>
        <v>Homemaker</v>
      </c>
      <c r="F263" s="4" t="n">
        <f aca="false">Raw_Data!F263</f>
        <v>0</v>
      </c>
      <c r="G263" s="4" t="str">
        <f aca="false">Raw_Data!G263</f>
        <v>Yes</v>
      </c>
      <c r="H263" s="4" t="str">
        <f aca="false">Raw_Data!H263</f>
        <v>Zerodha</v>
      </c>
      <c r="I263" s="4" t="str">
        <f aca="false">Raw_Data!I263</f>
        <v>Rarely</v>
      </c>
      <c r="J263" s="4" t="n">
        <f aca="false">Raw_Data!J263</f>
        <v>2848</v>
      </c>
      <c r="K263" s="4" t="str">
        <f aca="false">Raw_Data!K263</f>
        <v>Investment</v>
      </c>
      <c r="L263" s="4" t="n">
        <f aca="false">Raw_Data!L263</f>
        <v>1</v>
      </c>
      <c r="M263" s="4" t="str">
        <f aca="false">Raw_Data!M263</f>
        <v>Low</v>
      </c>
      <c r="N263" s="4" t="str">
        <f aca="false">Raw_Data!N263</f>
        <v>Digital Gold</v>
      </c>
      <c r="O263" s="4" t="n">
        <f aca="false">Raw_Data!O263</f>
        <v>3</v>
      </c>
      <c r="P263" s="4" t="n">
        <f aca="false">Raw_Data!P263</f>
        <v>9</v>
      </c>
      <c r="Q263" s="4" t="str">
        <f aca="false">IF(OR(B263="",B263=0),"Unknown",IF(B263&lt;=25,"18-25",IF(B263&lt;=35,"26-35",IF(B263&lt;=45,"36-45","46+"))))</f>
        <v>18-25</v>
      </c>
      <c r="R263" s="4" t="n">
        <f aca="false">IF(F263="Below 20,000",10000,IF(F263="20,000-40,000",30000,IF(F263="40,000-60,000",50000,IF(F263="60,000-80,000",70000,IF(F263="Above 80,000",100000,0)))))</f>
        <v>0</v>
      </c>
      <c r="S263" s="4" t="n">
        <f aca="false">IF(G263="Yes",1,0)</f>
        <v>1</v>
      </c>
    </row>
    <row r="264" customFormat="false" ht="15" hidden="false" customHeight="true" outlineLevel="0" collapsed="false">
      <c r="A264" s="3" t="str">
        <f aca="false">Raw_Data!A264</f>
        <v>R263</v>
      </c>
      <c r="B264" s="3" t="n">
        <f aca="false">Raw_Data!B264</f>
        <v>49</v>
      </c>
      <c r="C264" s="3" t="str">
        <f aca="false">Raw_Data!C264</f>
        <v>Male</v>
      </c>
      <c r="D264" s="3" t="str">
        <f aca="false">Raw_Data!D264</f>
        <v>Bangalore</v>
      </c>
      <c r="E264" s="3" t="str">
        <f aca="false">Raw_Data!E264</f>
        <v>Homemaker</v>
      </c>
      <c r="F264" s="3" t="str">
        <f aca="false">Raw_Data!F264</f>
        <v>20,000-40,000</v>
      </c>
      <c r="G264" s="3" t="str">
        <f aca="false">Raw_Data!G264</f>
        <v>No</v>
      </c>
      <c r="H264" s="3" t="n">
        <f aca="false">Raw_Data!H264</f>
        <v>0</v>
      </c>
      <c r="I264" s="3" t="n">
        <f aca="false">Raw_Data!I264</f>
        <v>0</v>
      </c>
      <c r="J264" s="3" t="n">
        <f aca="false">Raw_Data!J264</f>
        <v>0</v>
      </c>
      <c r="K264" s="3" t="n">
        <f aca="false">Raw_Data!K264</f>
        <v>0</v>
      </c>
      <c r="L264" s="3" t="n">
        <f aca="false">Raw_Data!L264</f>
        <v>3</v>
      </c>
      <c r="M264" s="3" t="str">
        <f aca="false">Raw_Data!M264</f>
        <v>Low</v>
      </c>
      <c r="N264" s="3" t="str">
        <f aca="false">Raw_Data!N264</f>
        <v>Physical Gold</v>
      </c>
      <c r="O264" s="3" t="n">
        <f aca="false">Raw_Data!O264</f>
        <v>1</v>
      </c>
      <c r="P264" s="3" t="n">
        <f aca="false">Raw_Data!P264</f>
        <v>7</v>
      </c>
      <c r="Q264" s="3" t="str">
        <f aca="false">IF(OR(B264="",B264=0),"Unknown",IF(B264&lt;=25,"18-25",IF(B264&lt;=35,"26-35",IF(B264&lt;=45,"36-45","46+"))))</f>
        <v>46+</v>
      </c>
      <c r="R264" s="3" t="n">
        <f aca="false">IF(F264="Below 20,000",10000,IF(F264="20,000-40,000",30000,IF(F264="40,000-60,000",50000,IF(F264="60,000-80,000",70000,IF(F264="Above 80,000",100000,0)))))</f>
        <v>30000</v>
      </c>
      <c r="S264" s="3" t="n">
        <f aca="false">IF(G264="Yes",1,0)</f>
        <v>0</v>
      </c>
    </row>
    <row r="265" customFormat="false" ht="15" hidden="false" customHeight="true" outlineLevel="0" collapsed="false">
      <c r="A265" s="4" t="str">
        <f aca="false">Raw_Data!A265</f>
        <v>R264</v>
      </c>
      <c r="B265" s="4" t="n">
        <f aca="false">Raw_Data!B265</f>
        <v>27</v>
      </c>
      <c r="C265" s="4" t="n">
        <f aca="false">Raw_Data!C265</f>
        <v>0</v>
      </c>
      <c r="D265" s="4" t="str">
        <f aca="false">Raw_Data!D265</f>
        <v>Mumbai</v>
      </c>
      <c r="E265" s="4" t="str">
        <f aca="false">Raw_Data!E265</f>
        <v>Freelancer</v>
      </c>
      <c r="F265" s="4" t="str">
        <f aca="false">Raw_Data!F265</f>
        <v>Below 20,000</v>
      </c>
      <c r="G265" s="4" t="str">
        <f aca="false">Raw_Data!G265</f>
        <v>Yes</v>
      </c>
      <c r="H265" s="4" t="str">
        <f aca="false">Raw_Data!H265</f>
        <v>MMTC-PAMP</v>
      </c>
      <c r="I265" s="4" t="str">
        <f aca="false">Raw_Data!I265</f>
        <v>Rarely</v>
      </c>
      <c r="J265" s="4" t="n">
        <f aca="false">Raw_Data!J265</f>
        <v>294</v>
      </c>
      <c r="K265" s="4" t="str">
        <f aca="false">Raw_Data!K265</f>
        <v>Gifting</v>
      </c>
      <c r="L265" s="4" t="n">
        <f aca="false">Raw_Data!L265</f>
        <v>2</v>
      </c>
      <c r="M265" s="4" t="str">
        <f aca="false">Raw_Data!M265</f>
        <v>Low</v>
      </c>
      <c r="N265" s="4" t="str">
        <f aca="false">Raw_Data!N265</f>
        <v>Mutual Funds</v>
      </c>
      <c r="O265" s="4" t="n">
        <f aca="false">Raw_Data!O265</f>
        <v>2</v>
      </c>
      <c r="P265" s="4" t="n">
        <f aca="false">Raw_Data!P265</f>
        <v>10</v>
      </c>
      <c r="Q265" s="4" t="str">
        <f aca="false">IF(OR(B265="",B265=0),"Unknown",IF(B265&lt;=25,"18-25",IF(B265&lt;=35,"26-35",IF(B265&lt;=45,"36-45","46+"))))</f>
        <v>26-35</v>
      </c>
      <c r="R265" s="4" t="n">
        <f aca="false">IF(F265="Below 20,000",10000,IF(F265="20,000-40,000",30000,IF(F265="40,000-60,000",50000,IF(F265="60,000-80,000",70000,IF(F265="Above 80,000",100000,0)))))</f>
        <v>10000</v>
      </c>
      <c r="S265" s="4" t="n">
        <f aca="false">IF(G265="Yes",1,0)</f>
        <v>1</v>
      </c>
    </row>
    <row r="266" customFormat="false" ht="15" hidden="false" customHeight="true" outlineLevel="0" collapsed="false">
      <c r="A266" s="3" t="str">
        <f aca="false">Raw_Data!A266</f>
        <v>R265</v>
      </c>
      <c r="B266" s="3" t="n">
        <f aca="false">Raw_Data!B266</f>
        <v>28</v>
      </c>
      <c r="C266" s="3" t="str">
        <f aca="false">Raw_Data!C266</f>
        <v>Male</v>
      </c>
      <c r="D266" s="3" t="str">
        <f aca="false">Raw_Data!D266</f>
        <v>Delhi</v>
      </c>
      <c r="E266" s="3" t="str">
        <f aca="false">Raw_Data!E266</f>
        <v>Freelancer</v>
      </c>
      <c r="F266" s="3" t="str">
        <f aca="false">Raw_Data!F266</f>
        <v>40,000-60,000</v>
      </c>
      <c r="G266" s="3" t="str">
        <f aca="false">Raw_Data!G266</f>
        <v>No</v>
      </c>
      <c r="H266" s="3" t="n">
        <f aca="false">Raw_Data!H266</f>
        <v>0</v>
      </c>
      <c r="I266" s="3" t="n">
        <f aca="false">Raw_Data!I266</f>
        <v>0</v>
      </c>
      <c r="J266" s="3" t="n">
        <f aca="false">Raw_Data!J266</f>
        <v>0</v>
      </c>
      <c r="K266" s="3" t="n">
        <f aca="false">Raw_Data!K266</f>
        <v>0</v>
      </c>
      <c r="L266" s="3" t="n">
        <f aca="false">Raw_Data!L266</f>
        <v>2</v>
      </c>
      <c r="M266" s="3" t="str">
        <f aca="false">Raw_Data!M266</f>
        <v>Medium</v>
      </c>
      <c r="N266" s="3" t="str">
        <f aca="false">Raw_Data!N266</f>
        <v>Digital Gold</v>
      </c>
      <c r="O266" s="3" t="n">
        <f aca="false">Raw_Data!O266</f>
        <v>3</v>
      </c>
      <c r="P266" s="3" t="n">
        <f aca="false">Raw_Data!P266</f>
        <v>9</v>
      </c>
      <c r="Q266" s="3" t="str">
        <f aca="false">IF(OR(B266="",B266=0),"Unknown",IF(B266&lt;=25,"18-25",IF(B266&lt;=35,"26-35",IF(B266&lt;=45,"36-45","46+"))))</f>
        <v>26-35</v>
      </c>
      <c r="R266" s="3" t="n">
        <f aca="false">IF(F266="Below 20,000",10000,IF(F266="20,000-40,000",30000,IF(F266="40,000-60,000",50000,IF(F266="60,000-80,000",70000,IF(F266="Above 80,000",100000,0)))))</f>
        <v>50000</v>
      </c>
      <c r="S266" s="3" t="n">
        <f aca="false">IF(G266="Yes",1,0)</f>
        <v>0</v>
      </c>
    </row>
    <row r="267" customFormat="false" ht="15" hidden="false" customHeight="true" outlineLevel="0" collapsed="false">
      <c r="A267" s="4" t="str">
        <f aca="false">Raw_Data!A267</f>
        <v>R266</v>
      </c>
      <c r="B267" s="4" t="n">
        <f aca="false">Raw_Data!B267</f>
        <v>29</v>
      </c>
      <c r="C267" s="4" t="str">
        <f aca="false">Raw_Data!C267</f>
        <v>Female</v>
      </c>
      <c r="D267" s="4" t="str">
        <f aca="false">Raw_Data!D267</f>
        <v>Hyderabad</v>
      </c>
      <c r="E267" s="4" t="str">
        <f aca="false">Raw_Data!E267</f>
        <v>Salaried</v>
      </c>
      <c r="F267" s="4" t="str">
        <f aca="false">Raw_Data!F267</f>
        <v>60,000-80,000</v>
      </c>
      <c r="G267" s="4" t="str">
        <f aca="false">Raw_Data!G267</f>
        <v>Yes</v>
      </c>
      <c r="H267" s="4" t="str">
        <f aca="false">Raw_Data!H267</f>
        <v>Paytm</v>
      </c>
      <c r="I267" s="4" t="str">
        <f aca="false">Raw_Data!I267</f>
        <v>Rarely</v>
      </c>
      <c r="J267" s="4" t="n">
        <f aca="false">Raw_Data!J267</f>
        <v>7408</v>
      </c>
      <c r="K267" s="4" t="str">
        <f aca="false">Raw_Data!K267</f>
        <v>Savings</v>
      </c>
      <c r="L267" s="4" t="n">
        <f aca="false">Raw_Data!L267</f>
        <v>2</v>
      </c>
      <c r="M267" s="4" t="str">
        <f aca="false">Raw_Data!M267</f>
        <v>Medium</v>
      </c>
      <c r="N267" s="4" t="str">
        <f aca="false">Raw_Data!N267</f>
        <v>Digital Gold</v>
      </c>
      <c r="O267" s="4" t="n">
        <f aca="false">Raw_Data!O267</f>
        <v>2</v>
      </c>
      <c r="P267" s="4" t="n">
        <f aca="false">Raw_Data!P267</f>
        <v>4</v>
      </c>
      <c r="Q267" s="4" t="str">
        <f aca="false">IF(OR(B267="",B267=0),"Unknown",IF(B267&lt;=25,"18-25",IF(B267&lt;=35,"26-35",IF(B267&lt;=45,"36-45","46+"))))</f>
        <v>26-35</v>
      </c>
      <c r="R267" s="4" t="n">
        <f aca="false">IF(F267="Below 20,000",10000,IF(F267="20,000-40,000",30000,IF(F267="40,000-60,000",50000,IF(F267="60,000-80,000",70000,IF(F267="Above 80,000",100000,0)))))</f>
        <v>70000</v>
      </c>
      <c r="S267" s="4" t="n">
        <f aca="false">IF(G267="Yes",1,0)</f>
        <v>1</v>
      </c>
    </row>
    <row r="268" customFormat="false" ht="15" hidden="false" customHeight="true" outlineLevel="0" collapsed="false">
      <c r="A268" s="3" t="str">
        <f aca="false">Raw_Data!A268</f>
        <v>R267</v>
      </c>
      <c r="B268" s="3" t="n">
        <f aca="false">Raw_Data!B268</f>
        <v>51</v>
      </c>
      <c r="C268" s="3" t="n">
        <f aca="false">Raw_Data!C268</f>
        <v>0</v>
      </c>
      <c r="D268" s="3" t="str">
        <f aca="false">Raw_Data!D268</f>
        <v>Hyderabad</v>
      </c>
      <c r="E268" s="3" t="str">
        <f aca="false">Raw_Data!E268</f>
        <v>Salaried</v>
      </c>
      <c r="F268" s="3" t="str">
        <f aca="false">Raw_Data!F268</f>
        <v>20,000-40,000</v>
      </c>
      <c r="G268" s="3" t="str">
        <f aca="false">Raw_Data!G268</f>
        <v>Yes</v>
      </c>
      <c r="H268" s="3" t="str">
        <f aca="false">Raw_Data!H268</f>
        <v>Google Pay</v>
      </c>
      <c r="I268" s="3" t="str">
        <f aca="false">Raw_Data!I268</f>
        <v>Weekly</v>
      </c>
      <c r="J268" s="3" t="n">
        <f aca="false">Raw_Data!J268</f>
        <v>1676</v>
      </c>
      <c r="K268" s="3" t="str">
        <f aca="false">Raw_Data!K268</f>
        <v>Gifting</v>
      </c>
      <c r="L268" s="3" t="n">
        <f aca="false">Raw_Data!L268</f>
        <v>3</v>
      </c>
      <c r="M268" s="3" t="str">
        <f aca="false">Raw_Data!M268</f>
        <v>Low</v>
      </c>
      <c r="N268" s="3" t="str">
        <f aca="false">Raw_Data!N268</f>
        <v>Digital Gold</v>
      </c>
      <c r="O268" s="3" t="n">
        <f aca="false">Raw_Data!O268</f>
        <v>4</v>
      </c>
      <c r="P268" s="3" t="n">
        <f aca="false">Raw_Data!P268</f>
        <v>9</v>
      </c>
      <c r="Q268" s="3" t="str">
        <f aca="false">IF(OR(B268="",B268=0),"Unknown",IF(B268&lt;=25,"18-25",IF(B268&lt;=35,"26-35",IF(B268&lt;=45,"36-45","46+"))))</f>
        <v>46+</v>
      </c>
      <c r="R268" s="3" t="n">
        <f aca="false">IF(F268="Below 20,000",10000,IF(F268="20,000-40,000",30000,IF(F268="40,000-60,000",50000,IF(F268="60,000-80,000",70000,IF(F268="Above 80,000",100000,0)))))</f>
        <v>30000</v>
      </c>
      <c r="S268" s="3" t="n">
        <f aca="false">IF(G268="Yes",1,0)</f>
        <v>1</v>
      </c>
    </row>
    <row r="269" customFormat="false" ht="15" hidden="false" customHeight="true" outlineLevel="0" collapsed="false">
      <c r="A269" s="4" t="str">
        <f aca="false">Raw_Data!A269</f>
        <v>R268</v>
      </c>
      <c r="B269" s="4" t="n">
        <f aca="false">Raw_Data!B269</f>
        <v>59</v>
      </c>
      <c r="C269" s="4" t="str">
        <f aca="false">Raw_Data!C269</f>
        <v>Female</v>
      </c>
      <c r="D269" s="4" t="str">
        <f aca="false">Raw_Data!D269</f>
        <v>Ahmedabad</v>
      </c>
      <c r="E269" s="4" t="str">
        <f aca="false">Raw_Data!E269</f>
        <v>Freelancer</v>
      </c>
      <c r="F269" s="4" t="str">
        <f aca="false">Raw_Data!F269</f>
        <v>Below 20,000</v>
      </c>
      <c r="G269" s="4" t="str">
        <f aca="false">Raw_Data!G269</f>
        <v>No</v>
      </c>
      <c r="H269" s="4" t="n">
        <f aca="false">Raw_Data!H269</f>
        <v>0</v>
      </c>
      <c r="I269" s="4" t="n">
        <f aca="false">Raw_Data!I269</f>
        <v>0</v>
      </c>
      <c r="J269" s="4" t="n">
        <f aca="false">Raw_Data!J269</f>
        <v>0</v>
      </c>
      <c r="K269" s="4" t="n">
        <f aca="false">Raw_Data!K269</f>
        <v>0</v>
      </c>
      <c r="L269" s="4" t="n">
        <f aca="false">Raw_Data!L269</f>
        <v>3</v>
      </c>
      <c r="M269" s="4" t="str">
        <f aca="false">Raw_Data!M269</f>
        <v>Medium</v>
      </c>
      <c r="N269" s="4" t="str">
        <f aca="false">Raw_Data!N269</f>
        <v>Mutual Funds</v>
      </c>
      <c r="O269" s="4" t="n">
        <f aca="false">Raw_Data!O269</f>
        <v>1</v>
      </c>
      <c r="P269" s="4" t="n">
        <f aca="false">Raw_Data!P269</f>
        <v>6</v>
      </c>
      <c r="Q269" s="4" t="str">
        <f aca="false">IF(OR(B269="",B269=0),"Unknown",IF(B269&lt;=25,"18-25",IF(B269&lt;=35,"26-35",IF(B269&lt;=45,"36-45","46+"))))</f>
        <v>46+</v>
      </c>
      <c r="R269" s="4" t="n">
        <f aca="false">IF(F269="Below 20,000",10000,IF(F269="20,000-40,000",30000,IF(F269="40,000-60,000",50000,IF(F269="60,000-80,000",70000,IF(F269="Above 80,000",100000,0)))))</f>
        <v>10000</v>
      </c>
      <c r="S269" s="4" t="n">
        <f aca="false">IF(G269="Yes",1,0)</f>
        <v>0</v>
      </c>
    </row>
    <row r="270" customFormat="false" ht="15" hidden="false" customHeight="true" outlineLevel="0" collapsed="false">
      <c r="A270" s="3" t="str">
        <f aca="false">Raw_Data!A270</f>
        <v>R269</v>
      </c>
      <c r="B270" s="3" t="n">
        <f aca="false">Raw_Data!B270</f>
        <v>49</v>
      </c>
      <c r="C270" s="3" t="str">
        <f aca="false">Raw_Data!C270</f>
        <v>Female</v>
      </c>
      <c r="D270" s="3" t="str">
        <f aca="false">Raw_Data!D270</f>
        <v>Lucknow</v>
      </c>
      <c r="E270" s="3" t="str">
        <f aca="false">Raw_Data!E270</f>
        <v>Homemaker</v>
      </c>
      <c r="F270" s="3" t="str">
        <f aca="false">Raw_Data!F270</f>
        <v>Below 20,000</v>
      </c>
      <c r="G270" s="3" t="str">
        <f aca="false">Raw_Data!G270</f>
        <v>Yes</v>
      </c>
      <c r="H270" s="3" t="str">
        <f aca="false">Raw_Data!H270</f>
        <v>MMTC-PAMP</v>
      </c>
      <c r="I270" s="3" t="str">
        <f aca="false">Raw_Data!I270</f>
        <v>Quarterly</v>
      </c>
      <c r="J270" s="3" t="n">
        <f aca="false">Raw_Data!J270</f>
        <v>991</v>
      </c>
      <c r="K270" s="3" t="str">
        <f aca="false">Raw_Data!K270</f>
        <v>Savings</v>
      </c>
      <c r="L270" s="3" t="n">
        <f aca="false">Raw_Data!L270</f>
        <v>4</v>
      </c>
      <c r="M270" s="3" t="str">
        <f aca="false">Raw_Data!M270</f>
        <v>Low</v>
      </c>
      <c r="N270" s="3" t="str">
        <f aca="false">Raw_Data!N270</f>
        <v>Digital Gold</v>
      </c>
      <c r="O270" s="3" t="n">
        <f aca="false">Raw_Data!O270</f>
        <v>5</v>
      </c>
      <c r="P270" s="3" t="n">
        <f aca="false">Raw_Data!P270</f>
        <v>1</v>
      </c>
      <c r="Q270" s="3" t="str">
        <f aca="false">IF(OR(B270="",B270=0),"Unknown",IF(B270&lt;=25,"18-25",IF(B270&lt;=35,"26-35",IF(B270&lt;=45,"36-45","46+"))))</f>
        <v>46+</v>
      </c>
      <c r="R270" s="3" t="n">
        <f aca="false">IF(F270="Below 20,000",10000,IF(F270="20,000-40,000",30000,IF(F270="40,000-60,000",50000,IF(F270="60,000-80,000",70000,IF(F270="Above 80,000",100000,0)))))</f>
        <v>10000</v>
      </c>
      <c r="S270" s="3" t="n">
        <f aca="false">IF(G270="Yes",1,0)</f>
        <v>1</v>
      </c>
    </row>
    <row r="271" customFormat="false" ht="15" hidden="false" customHeight="true" outlineLevel="0" collapsed="false">
      <c r="A271" s="4" t="str">
        <f aca="false">Raw_Data!A271</f>
        <v>R270</v>
      </c>
      <c r="B271" s="4" t="n">
        <f aca="false">Raw_Data!B271</f>
        <v>23</v>
      </c>
      <c r="C271" s="4" t="str">
        <f aca="false">Raw_Data!C271</f>
        <v>Male</v>
      </c>
      <c r="D271" s="4" t="str">
        <f aca="false">Raw_Data!D271</f>
        <v>Lucknow</v>
      </c>
      <c r="E271" s="4" t="str">
        <f aca="false">Raw_Data!E271</f>
        <v>Business</v>
      </c>
      <c r="F271" s="4" t="str">
        <f aca="false">Raw_Data!F271</f>
        <v>60,000-80,000</v>
      </c>
      <c r="G271" s="4" t="str">
        <f aca="false">Raw_Data!G271</f>
        <v>No</v>
      </c>
      <c r="H271" s="4" t="n">
        <f aca="false">Raw_Data!H271</f>
        <v>0</v>
      </c>
      <c r="I271" s="4" t="n">
        <f aca="false">Raw_Data!I271</f>
        <v>0</v>
      </c>
      <c r="J271" s="4" t="n">
        <f aca="false">Raw_Data!J271</f>
        <v>0</v>
      </c>
      <c r="K271" s="4" t="n">
        <f aca="false">Raw_Data!K271</f>
        <v>0</v>
      </c>
      <c r="L271" s="4" t="n">
        <f aca="false">Raw_Data!L271</f>
        <v>1</v>
      </c>
      <c r="M271" s="4" t="str">
        <f aca="false">Raw_Data!M271</f>
        <v>Medium</v>
      </c>
      <c r="N271" s="4" t="str">
        <f aca="false">Raw_Data!N271</f>
        <v>Digital Gold</v>
      </c>
      <c r="O271" s="4" t="n">
        <f aca="false">Raw_Data!O271</f>
        <v>4</v>
      </c>
      <c r="P271" s="4" t="n">
        <f aca="false">Raw_Data!P271</f>
        <v>6</v>
      </c>
      <c r="Q271" s="4" t="str">
        <f aca="false">IF(OR(B271="",B271=0),"Unknown",IF(B271&lt;=25,"18-25",IF(B271&lt;=35,"26-35",IF(B271&lt;=45,"36-45","46+"))))</f>
        <v>18-25</v>
      </c>
      <c r="R271" s="4" t="n">
        <f aca="false">IF(F271="Below 20,000",10000,IF(F271="20,000-40,000",30000,IF(F271="40,000-60,000",50000,IF(F271="60,000-80,000",70000,IF(F271="Above 80,000",100000,0)))))</f>
        <v>70000</v>
      </c>
      <c r="S271" s="4" t="n">
        <f aca="false">IF(G271="Yes",1,0)</f>
        <v>0</v>
      </c>
    </row>
    <row r="272" customFormat="false" ht="15" hidden="false" customHeight="true" outlineLevel="0" collapsed="false">
      <c r="A272" s="3" t="str">
        <f aca="false">Raw_Data!A272</f>
        <v>R271</v>
      </c>
      <c r="B272" s="3" t="n">
        <f aca="false">Raw_Data!B272</f>
        <v>51</v>
      </c>
      <c r="C272" s="3" t="str">
        <f aca="false">Raw_Data!C272</f>
        <v>Male</v>
      </c>
      <c r="D272" s="3" t="str">
        <f aca="false">Raw_Data!D272</f>
        <v>Delhi</v>
      </c>
      <c r="E272" s="3" t="str">
        <f aca="false">Raw_Data!E272</f>
        <v>Freelancer</v>
      </c>
      <c r="F272" s="3" t="str">
        <f aca="false">Raw_Data!F272</f>
        <v>20,000-40,000</v>
      </c>
      <c r="G272" s="3" t="str">
        <f aca="false">Raw_Data!G272</f>
        <v>Yes</v>
      </c>
      <c r="H272" s="3" t="str">
        <f aca="false">Raw_Data!H272</f>
        <v>Google Pay</v>
      </c>
      <c r="I272" s="3" t="str">
        <f aca="false">Raw_Data!I272</f>
        <v>Daily</v>
      </c>
      <c r="J272" s="3" t="n">
        <f aca="false">Raw_Data!J272</f>
        <v>2442</v>
      </c>
      <c r="K272" s="3" t="str">
        <f aca="false">Raw_Data!K272</f>
        <v>Gifting</v>
      </c>
      <c r="L272" s="3" t="n">
        <f aca="false">Raw_Data!L272</f>
        <v>4</v>
      </c>
      <c r="M272" s="3" t="str">
        <f aca="false">Raw_Data!M272</f>
        <v>Low</v>
      </c>
      <c r="N272" s="3" t="str">
        <f aca="false">Raw_Data!N272</f>
        <v>Digital Gold</v>
      </c>
      <c r="O272" s="3" t="n">
        <f aca="false">Raw_Data!O272</f>
        <v>2</v>
      </c>
      <c r="P272" s="3" t="n">
        <f aca="false">Raw_Data!P272</f>
        <v>1</v>
      </c>
      <c r="Q272" s="3" t="str">
        <f aca="false">IF(OR(B272="",B272=0),"Unknown",IF(B272&lt;=25,"18-25",IF(B272&lt;=35,"26-35",IF(B272&lt;=45,"36-45","46+"))))</f>
        <v>46+</v>
      </c>
      <c r="R272" s="3" t="n">
        <f aca="false">IF(F272="Below 20,000",10000,IF(F272="20,000-40,000",30000,IF(F272="40,000-60,000",50000,IF(F272="60,000-80,000",70000,IF(F272="Above 80,000",100000,0)))))</f>
        <v>30000</v>
      </c>
      <c r="S272" s="3" t="n">
        <f aca="false">IF(G272="Yes",1,0)</f>
        <v>1</v>
      </c>
    </row>
    <row r="273" customFormat="false" ht="15" hidden="false" customHeight="true" outlineLevel="0" collapsed="false">
      <c r="A273" s="4" t="str">
        <f aca="false">Raw_Data!A273</f>
        <v>R272</v>
      </c>
      <c r="B273" s="4" t="n">
        <f aca="false">Raw_Data!B273</f>
        <v>60</v>
      </c>
      <c r="C273" s="4" t="str">
        <f aca="false">Raw_Data!C273</f>
        <v>Female</v>
      </c>
      <c r="D273" s="4" t="str">
        <f aca="false">Raw_Data!D273</f>
        <v>Lucknow</v>
      </c>
      <c r="E273" s="4" t="str">
        <f aca="false">Raw_Data!E273</f>
        <v>Business</v>
      </c>
      <c r="F273" s="4" t="str">
        <f aca="false">Raw_Data!F273</f>
        <v>Above 80,000</v>
      </c>
      <c r="G273" s="4" t="str">
        <f aca="false">Raw_Data!G273</f>
        <v>No</v>
      </c>
      <c r="H273" s="4" t="n">
        <f aca="false">Raw_Data!H273</f>
        <v>0</v>
      </c>
      <c r="I273" s="4" t="n">
        <f aca="false">Raw_Data!I273</f>
        <v>0</v>
      </c>
      <c r="J273" s="4" t="n">
        <f aca="false">Raw_Data!J273</f>
        <v>0</v>
      </c>
      <c r="K273" s="4" t="n">
        <f aca="false">Raw_Data!K273</f>
        <v>0</v>
      </c>
      <c r="L273" s="4" t="n">
        <f aca="false">Raw_Data!L273</f>
        <v>1</v>
      </c>
      <c r="M273" s="4" t="str">
        <f aca="false">Raw_Data!M273</f>
        <v>High</v>
      </c>
      <c r="N273" s="4" t="str">
        <f aca="false">Raw_Data!N273</f>
        <v>Digital Gold</v>
      </c>
      <c r="O273" s="4" t="n">
        <f aca="false">Raw_Data!O273</f>
        <v>4</v>
      </c>
      <c r="P273" s="4" t="n">
        <f aca="false">Raw_Data!P273</f>
        <v>9</v>
      </c>
      <c r="Q273" s="4" t="str">
        <f aca="false">IF(OR(B273="",B273=0),"Unknown",IF(B273&lt;=25,"18-25",IF(B273&lt;=35,"26-35",IF(B273&lt;=45,"36-45","46+"))))</f>
        <v>46+</v>
      </c>
      <c r="R273" s="4" t="n">
        <f aca="false">IF(F273="Below 20,000",10000,IF(F273="20,000-40,000",30000,IF(F273="40,000-60,000",50000,IF(F273="60,000-80,000",70000,IF(F273="Above 80,000",100000,0)))))</f>
        <v>100000</v>
      </c>
      <c r="S273" s="4" t="n">
        <f aca="false">IF(G273="Yes",1,0)</f>
        <v>0</v>
      </c>
    </row>
    <row r="274" customFormat="false" ht="15" hidden="false" customHeight="true" outlineLevel="0" collapsed="false">
      <c r="A274" s="3" t="str">
        <f aca="false">Raw_Data!A274</f>
        <v>R273</v>
      </c>
      <c r="B274" s="3" t="n">
        <f aca="false">Raw_Data!B274</f>
        <v>46</v>
      </c>
      <c r="C274" s="3" t="str">
        <f aca="false">Raw_Data!C274</f>
        <v>Male</v>
      </c>
      <c r="D274" s="3" t="str">
        <f aca="false">Raw_Data!D274</f>
        <v>Ahmedabad</v>
      </c>
      <c r="E274" s="3" t="str">
        <f aca="false">Raw_Data!E274</f>
        <v>Homemaker</v>
      </c>
      <c r="F274" s="3" t="str">
        <f aca="false">Raw_Data!F274</f>
        <v>60,000-80,000</v>
      </c>
      <c r="G274" s="3" t="str">
        <f aca="false">Raw_Data!G274</f>
        <v>Yes</v>
      </c>
      <c r="H274" s="3" t="str">
        <f aca="false">Raw_Data!H274</f>
        <v>Zerodha</v>
      </c>
      <c r="I274" s="3" t="str">
        <f aca="false">Raw_Data!I274</f>
        <v>Weekly</v>
      </c>
      <c r="J274" s="3" t="n">
        <f aca="false">Raw_Data!J274</f>
        <v>11172</v>
      </c>
      <c r="K274" s="3" t="str">
        <f aca="false">Raw_Data!K274</f>
        <v>Investment</v>
      </c>
      <c r="L274" s="3" t="n">
        <f aca="false">Raw_Data!L274</f>
        <v>5</v>
      </c>
      <c r="M274" s="3" t="str">
        <f aca="false">Raw_Data!M274</f>
        <v>High</v>
      </c>
      <c r="N274" s="3" t="str">
        <f aca="false">Raw_Data!N274</f>
        <v>Digital Gold</v>
      </c>
      <c r="O274" s="3" t="n">
        <f aca="false">Raw_Data!O274</f>
        <v>5</v>
      </c>
      <c r="P274" s="3" t="n">
        <f aca="false">Raw_Data!P274</f>
        <v>7</v>
      </c>
      <c r="Q274" s="3" t="str">
        <f aca="false">IF(OR(B274="",B274=0),"Unknown",IF(B274&lt;=25,"18-25",IF(B274&lt;=35,"26-35",IF(B274&lt;=45,"36-45","46+"))))</f>
        <v>46+</v>
      </c>
      <c r="R274" s="3" t="n">
        <f aca="false">IF(F274="Below 20,000",10000,IF(F274="20,000-40,000",30000,IF(F274="40,000-60,000",50000,IF(F274="60,000-80,000",70000,IF(F274="Above 80,000",100000,0)))))</f>
        <v>70000</v>
      </c>
      <c r="S274" s="3" t="n">
        <f aca="false">IF(G274="Yes",1,0)</f>
        <v>1</v>
      </c>
    </row>
    <row r="275" customFormat="false" ht="15" hidden="false" customHeight="true" outlineLevel="0" collapsed="false">
      <c r="A275" s="4" t="str">
        <f aca="false">Raw_Data!A275</f>
        <v>R274</v>
      </c>
      <c r="B275" s="4" t="n">
        <f aca="false">Raw_Data!B275</f>
        <v>20</v>
      </c>
      <c r="C275" s="4" t="str">
        <f aca="false">Raw_Data!C275</f>
        <v>Male</v>
      </c>
      <c r="D275" s="4" t="str">
        <f aca="false">Raw_Data!D275</f>
        <v>Hyderabad</v>
      </c>
      <c r="E275" s="4" t="str">
        <f aca="false">Raw_Data!E275</f>
        <v>Student</v>
      </c>
      <c r="F275" s="4" t="str">
        <f aca="false">Raw_Data!F275</f>
        <v>20,000-40,000</v>
      </c>
      <c r="G275" s="4" t="str">
        <f aca="false">Raw_Data!G275</f>
        <v>Yes</v>
      </c>
      <c r="H275" s="4" t="str">
        <f aca="false">Raw_Data!H275</f>
        <v>Paytm</v>
      </c>
      <c r="I275" s="4" t="str">
        <f aca="false">Raw_Data!I275</f>
        <v>Daily</v>
      </c>
      <c r="J275" s="4" t="n">
        <f aca="false">Raw_Data!J275</f>
        <v>880</v>
      </c>
      <c r="K275" s="4" t="str">
        <f aca="false">Raw_Data!K275</f>
        <v>Savings</v>
      </c>
      <c r="L275" s="4" t="n">
        <f aca="false">Raw_Data!L275</f>
        <v>4</v>
      </c>
      <c r="M275" s="4" t="str">
        <f aca="false">Raw_Data!M275</f>
        <v>High</v>
      </c>
      <c r="N275" s="4" t="str">
        <f aca="false">Raw_Data!N275</f>
        <v>Fixed Deposit</v>
      </c>
      <c r="O275" s="4" t="n">
        <f aca="false">Raw_Data!O275</f>
        <v>5</v>
      </c>
      <c r="P275" s="4" t="n">
        <f aca="false">Raw_Data!P275</f>
        <v>10</v>
      </c>
      <c r="Q275" s="4" t="str">
        <f aca="false">IF(OR(B275="",B275=0),"Unknown",IF(B275&lt;=25,"18-25",IF(B275&lt;=35,"26-35",IF(B275&lt;=45,"36-45","46+"))))</f>
        <v>18-25</v>
      </c>
      <c r="R275" s="4" t="n">
        <f aca="false">IF(F275="Below 20,000",10000,IF(F275="20,000-40,000",30000,IF(F275="40,000-60,000",50000,IF(F275="60,000-80,000",70000,IF(F275="Above 80,000",100000,0)))))</f>
        <v>30000</v>
      </c>
      <c r="S275" s="4" t="n">
        <f aca="false">IF(G275="Yes",1,0)</f>
        <v>1</v>
      </c>
    </row>
    <row r="276" customFormat="false" ht="15" hidden="false" customHeight="true" outlineLevel="0" collapsed="false">
      <c r="A276" s="3" t="str">
        <f aca="false">Raw_Data!A276</f>
        <v>R275</v>
      </c>
      <c r="B276" s="3" t="n">
        <f aca="false">Raw_Data!B276</f>
        <v>47</v>
      </c>
      <c r="C276" s="3" t="str">
        <f aca="false">Raw_Data!C276</f>
        <v>Male</v>
      </c>
      <c r="D276" s="3" t="str">
        <f aca="false">Raw_Data!D276</f>
        <v>Bangalore</v>
      </c>
      <c r="E276" s="3" t="str">
        <f aca="false">Raw_Data!E276</f>
        <v>Salaried</v>
      </c>
      <c r="F276" s="3" t="str">
        <f aca="false">Raw_Data!F276</f>
        <v>Below 20,000</v>
      </c>
      <c r="G276" s="3" t="str">
        <f aca="false">Raw_Data!G276</f>
        <v>Yes</v>
      </c>
      <c r="H276" s="3" t="str">
        <f aca="false">Raw_Data!H276</f>
        <v>Zerodha</v>
      </c>
      <c r="I276" s="3" t="str">
        <f aca="false">Raw_Data!I276</f>
        <v>Quarterly</v>
      </c>
      <c r="J276" s="3" t="n">
        <f aca="false">Raw_Data!J276</f>
        <v>1091</v>
      </c>
      <c r="K276" s="3" t="str">
        <f aca="false">Raw_Data!K276</f>
        <v>Investment</v>
      </c>
      <c r="L276" s="3" t="n">
        <f aca="false">Raw_Data!L276</f>
        <v>4</v>
      </c>
      <c r="M276" s="3" t="str">
        <f aca="false">Raw_Data!M276</f>
        <v>Low</v>
      </c>
      <c r="N276" s="3" t="str">
        <f aca="false">Raw_Data!N276</f>
        <v>Fixed Deposit</v>
      </c>
      <c r="O276" s="3" t="n">
        <f aca="false">Raw_Data!O276</f>
        <v>4</v>
      </c>
      <c r="P276" s="3" t="n">
        <f aca="false">Raw_Data!P276</f>
        <v>3</v>
      </c>
      <c r="Q276" s="3" t="str">
        <f aca="false">IF(OR(B276="",B276=0),"Unknown",IF(B276&lt;=25,"18-25",IF(B276&lt;=35,"26-35",IF(B276&lt;=45,"36-45","46+"))))</f>
        <v>46+</v>
      </c>
      <c r="R276" s="3" t="n">
        <f aca="false">IF(F276="Below 20,000",10000,IF(F276="20,000-40,000",30000,IF(F276="40,000-60,000",50000,IF(F276="60,000-80,000",70000,IF(F276="Above 80,000",100000,0)))))</f>
        <v>10000</v>
      </c>
      <c r="S276" s="3" t="n">
        <f aca="false">IF(G276="Yes",1,0)</f>
        <v>1</v>
      </c>
    </row>
    <row r="277" customFormat="false" ht="15" hidden="false" customHeight="true" outlineLevel="0" collapsed="false">
      <c r="A277" s="4" t="str">
        <f aca="false">Raw_Data!A277</f>
        <v>R276</v>
      </c>
      <c r="B277" s="4" t="n">
        <f aca="false">Raw_Data!B277</f>
        <v>0</v>
      </c>
      <c r="C277" s="4" t="str">
        <f aca="false">Raw_Data!C277</f>
        <v>Female</v>
      </c>
      <c r="D277" s="4" t="str">
        <f aca="false">Raw_Data!D277</f>
        <v>Kolkata</v>
      </c>
      <c r="E277" s="4" t="str">
        <f aca="false">Raw_Data!E277</f>
        <v>Freelancer</v>
      </c>
      <c r="F277" s="4" t="str">
        <f aca="false">Raw_Data!F277</f>
        <v>20,000-40,000</v>
      </c>
      <c r="G277" s="4" t="str">
        <f aca="false">Raw_Data!G277</f>
        <v>Yes</v>
      </c>
      <c r="H277" s="4" t="str">
        <f aca="false">Raw_Data!H277</f>
        <v>Zerodha</v>
      </c>
      <c r="I277" s="4" t="str">
        <f aca="false">Raw_Data!I277</f>
        <v>Weekly</v>
      </c>
      <c r="J277" s="4" t="n">
        <f aca="false">Raw_Data!J277</f>
        <v>2105</v>
      </c>
      <c r="K277" s="4" t="str">
        <f aca="false">Raw_Data!K277</f>
        <v>Savings</v>
      </c>
      <c r="L277" s="4" t="n">
        <f aca="false">Raw_Data!L277</f>
        <v>4</v>
      </c>
      <c r="M277" s="4" t="str">
        <f aca="false">Raw_Data!M277</f>
        <v>Medium</v>
      </c>
      <c r="N277" s="4" t="str">
        <f aca="false">Raw_Data!N277</f>
        <v>Physical Gold</v>
      </c>
      <c r="O277" s="4" t="n">
        <f aca="false">Raw_Data!O277</f>
        <v>4</v>
      </c>
      <c r="P277" s="4" t="n">
        <f aca="false">Raw_Data!P277</f>
        <v>3</v>
      </c>
      <c r="Q277" s="4" t="str">
        <f aca="false">IF(OR(B277="",B277=0),"Unknown",IF(B277&lt;=25,"18-25",IF(B277&lt;=35,"26-35",IF(B277&lt;=45,"36-45","46+"))))</f>
        <v>Unknown</v>
      </c>
      <c r="R277" s="4" t="n">
        <f aca="false">IF(F277="Below 20,000",10000,IF(F277="20,000-40,000",30000,IF(F277="40,000-60,000",50000,IF(F277="60,000-80,000",70000,IF(F277="Above 80,000",100000,0)))))</f>
        <v>30000</v>
      </c>
      <c r="S277" s="4" t="n">
        <f aca="false">IF(G277="Yes",1,0)</f>
        <v>1</v>
      </c>
    </row>
    <row r="278" customFormat="false" ht="15" hidden="false" customHeight="true" outlineLevel="0" collapsed="false">
      <c r="A278" s="3" t="str">
        <f aca="false">Raw_Data!A278</f>
        <v>R277</v>
      </c>
      <c r="B278" s="3" t="n">
        <f aca="false">Raw_Data!B278</f>
        <v>46</v>
      </c>
      <c r="C278" s="3" t="str">
        <f aca="false">Raw_Data!C278</f>
        <v>Male</v>
      </c>
      <c r="D278" s="3" t="str">
        <f aca="false">Raw_Data!D278</f>
        <v>Lucknow</v>
      </c>
      <c r="E278" s="3" t="str">
        <f aca="false">Raw_Data!E278</f>
        <v>Government Employee</v>
      </c>
      <c r="F278" s="3" t="str">
        <f aca="false">Raw_Data!F278</f>
        <v>Below 20,000</v>
      </c>
      <c r="G278" s="3" t="str">
        <f aca="false">Raw_Data!G278</f>
        <v>No</v>
      </c>
      <c r="H278" s="3" t="n">
        <f aca="false">Raw_Data!H278</f>
        <v>0</v>
      </c>
      <c r="I278" s="3" t="n">
        <f aca="false">Raw_Data!I278</f>
        <v>0</v>
      </c>
      <c r="J278" s="3" t="n">
        <f aca="false">Raw_Data!J278</f>
        <v>0</v>
      </c>
      <c r="K278" s="3" t="n">
        <f aca="false">Raw_Data!K278</f>
        <v>0</v>
      </c>
      <c r="L278" s="3" t="n">
        <f aca="false">Raw_Data!L278</f>
        <v>2</v>
      </c>
      <c r="M278" s="3" t="str">
        <f aca="false">Raw_Data!M278</f>
        <v>High</v>
      </c>
      <c r="N278" s="3" t="str">
        <f aca="false">Raw_Data!N278</f>
        <v>Physical Gold</v>
      </c>
      <c r="O278" s="3" t="n">
        <f aca="false">Raw_Data!O278</f>
        <v>1</v>
      </c>
      <c r="P278" s="3" t="n">
        <f aca="false">Raw_Data!P278</f>
        <v>3</v>
      </c>
      <c r="Q278" s="3" t="str">
        <f aca="false">IF(OR(B278="",B278=0),"Unknown",IF(B278&lt;=25,"18-25",IF(B278&lt;=35,"26-35",IF(B278&lt;=45,"36-45","46+"))))</f>
        <v>46+</v>
      </c>
      <c r="R278" s="3" t="n">
        <f aca="false">IF(F278="Below 20,000",10000,IF(F278="20,000-40,000",30000,IF(F278="40,000-60,000",50000,IF(F278="60,000-80,000",70000,IF(F278="Above 80,000",100000,0)))))</f>
        <v>10000</v>
      </c>
      <c r="S278" s="3" t="n">
        <f aca="false">IF(G278="Yes",1,0)</f>
        <v>0</v>
      </c>
    </row>
    <row r="279" customFormat="false" ht="15" hidden="false" customHeight="true" outlineLevel="0" collapsed="false">
      <c r="A279" s="4" t="str">
        <f aca="false">Raw_Data!A279</f>
        <v>R278</v>
      </c>
      <c r="B279" s="4" t="n">
        <f aca="false">Raw_Data!B279</f>
        <v>46</v>
      </c>
      <c r="C279" s="4" t="str">
        <f aca="false">Raw_Data!C279</f>
        <v>Male</v>
      </c>
      <c r="D279" s="4" t="str">
        <f aca="false">Raw_Data!D279</f>
        <v>Hyderabad</v>
      </c>
      <c r="E279" s="4" t="str">
        <f aca="false">Raw_Data!E279</f>
        <v>Student</v>
      </c>
      <c r="F279" s="4" t="str">
        <f aca="false">Raw_Data!F279</f>
        <v>60,000-80,000</v>
      </c>
      <c r="G279" s="4" t="str">
        <f aca="false">Raw_Data!G279</f>
        <v>Yes</v>
      </c>
      <c r="H279" s="4" t="str">
        <f aca="false">Raw_Data!H279</f>
        <v>Others</v>
      </c>
      <c r="I279" s="4" t="str">
        <f aca="false">Raw_Data!I279</f>
        <v>Rarely</v>
      </c>
      <c r="J279" s="4" t="n">
        <f aca="false">Raw_Data!J279</f>
        <v>4864</v>
      </c>
      <c r="K279" s="4" t="str">
        <f aca="false">Raw_Data!K279</f>
        <v>Gifting</v>
      </c>
      <c r="L279" s="4" t="n">
        <f aca="false">Raw_Data!L279</f>
        <v>4</v>
      </c>
      <c r="M279" s="4" t="str">
        <f aca="false">Raw_Data!M279</f>
        <v>Low</v>
      </c>
      <c r="N279" s="4" t="str">
        <f aca="false">Raw_Data!N279</f>
        <v>Mutual Funds</v>
      </c>
      <c r="O279" s="4" t="n">
        <f aca="false">Raw_Data!O279</f>
        <v>5</v>
      </c>
      <c r="P279" s="4" t="n">
        <f aca="false">Raw_Data!P279</f>
        <v>8</v>
      </c>
      <c r="Q279" s="4" t="str">
        <f aca="false">IF(OR(B279="",B279=0),"Unknown",IF(B279&lt;=25,"18-25",IF(B279&lt;=35,"26-35",IF(B279&lt;=45,"36-45","46+"))))</f>
        <v>46+</v>
      </c>
      <c r="R279" s="4" t="n">
        <f aca="false">IF(F279="Below 20,000",10000,IF(F279="20,000-40,000",30000,IF(F279="40,000-60,000",50000,IF(F279="60,000-80,000",70000,IF(F279="Above 80,000",100000,0)))))</f>
        <v>70000</v>
      </c>
      <c r="S279" s="4" t="n">
        <f aca="false">IF(G279="Yes",1,0)</f>
        <v>1</v>
      </c>
    </row>
    <row r="280" customFormat="false" ht="15" hidden="false" customHeight="true" outlineLevel="0" collapsed="false">
      <c r="A280" s="3" t="str">
        <f aca="false">Raw_Data!A280</f>
        <v>R279</v>
      </c>
      <c r="B280" s="3" t="n">
        <f aca="false">Raw_Data!B280</f>
        <v>60</v>
      </c>
      <c r="C280" s="3" t="str">
        <f aca="false">Raw_Data!C280</f>
        <v>Male</v>
      </c>
      <c r="D280" s="3" t="str">
        <f aca="false">Raw_Data!D280</f>
        <v>Kolkata</v>
      </c>
      <c r="E280" s="3" t="str">
        <f aca="false">Raw_Data!E280</f>
        <v>Business</v>
      </c>
      <c r="F280" s="3" t="str">
        <f aca="false">Raw_Data!F280</f>
        <v>Below 20,000</v>
      </c>
      <c r="G280" s="3" t="str">
        <f aca="false">Raw_Data!G280</f>
        <v>No</v>
      </c>
      <c r="H280" s="3" t="n">
        <f aca="false">Raw_Data!H280</f>
        <v>0</v>
      </c>
      <c r="I280" s="3" t="n">
        <f aca="false">Raw_Data!I280</f>
        <v>0</v>
      </c>
      <c r="J280" s="3" t="n">
        <f aca="false">Raw_Data!J280</f>
        <v>0</v>
      </c>
      <c r="K280" s="3" t="n">
        <f aca="false">Raw_Data!K280</f>
        <v>0</v>
      </c>
      <c r="L280" s="3" t="n">
        <f aca="false">Raw_Data!L280</f>
        <v>2</v>
      </c>
      <c r="M280" s="3" t="str">
        <f aca="false">Raw_Data!M280</f>
        <v>High</v>
      </c>
      <c r="N280" s="3" t="str">
        <f aca="false">Raw_Data!N280</f>
        <v>Physical Gold</v>
      </c>
      <c r="O280" s="3" t="n">
        <f aca="false">Raw_Data!O280</f>
        <v>1</v>
      </c>
      <c r="P280" s="3" t="n">
        <f aca="false">Raw_Data!P280</f>
        <v>4</v>
      </c>
      <c r="Q280" s="3" t="str">
        <f aca="false">IF(OR(B280="",B280=0),"Unknown",IF(B280&lt;=25,"18-25",IF(B280&lt;=35,"26-35",IF(B280&lt;=45,"36-45","46+"))))</f>
        <v>46+</v>
      </c>
      <c r="R280" s="3" t="n">
        <f aca="false">IF(F280="Below 20,000",10000,IF(F280="20,000-40,000",30000,IF(F280="40,000-60,000",50000,IF(F280="60,000-80,000",70000,IF(F280="Above 80,000",100000,0)))))</f>
        <v>10000</v>
      </c>
      <c r="S280" s="3" t="n">
        <f aca="false">IF(G280="Yes",1,0)</f>
        <v>0</v>
      </c>
    </row>
    <row r="281" customFormat="false" ht="15" hidden="false" customHeight="true" outlineLevel="0" collapsed="false">
      <c r="A281" s="4" t="str">
        <f aca="false">Raw_Data!A281</f>
        <v>R280</v>
      </c>
      <c r="B281" s="4" t="n">
        <f aca="false">Raw_Data!B281</f>
        <v>23</v>
      </c>
      <c r="C281" s="4" t="str">
        <f aca="false">Raw_Data!C281</f>
        <v>Male</v>
      </c>
      <c r="D281" s="4" t="str">
        <f aca="false">Raw_Data!D281</f>
        <v>Chennai</v>
      </c>
      <c r="E281" s="4" t="str">
        <f aca="false">Raw_Data!E281</f>
        <v>Business</v>
      </c>
      <c r="F281" s="4" t="str">
        <f aca="false">Raw_Data!F281</f>
        <v>60,000-80,000</v>
      </c>
      <c r="G281" s="4" t="str">
        <f aca="false">Raw_Data!G281</f>
        <v>Yes</v>
      </c>
      <c r="H281" s="4" t="str">
        <f aca="false">Raw_Data!H281</f>
        <v>MMTC-PAMP</v>
      </c>
      <c r="I281" s="4" t="str">
        <f aca="false">Raw_Data!I281</f>
        <v>Monthly</v>
      </c>
      <c r="J281" s="4" t="n">
        <f aca="false">Raw_Data!J281</f>
        <v>4037</v>
      </c>
      <c r="K281" s="4" t="str">
        <f aca="false">Raw_Data!K281</f>
        <v>Savings</v>
      </c>
      <c r="L281" s="4" t="n">
        <f aca="false">Raw_Data!L281</f>
        <v>4</v>
      </c>
      <c r="M281" s="4" t="str">
        <f aca="false">Raw_Data!M281</f>
        <v>Low</v>
      </c>
      <c r="N281" s="4" t="str">
        <f aca="false">Raw_Data!N281</f>
        <v>Fixed Deposit</v>
      </c>
      <c r="O281" s="4" t="n">
        <f aca="false">Raw_Data!O281</f>
        <v>2</v>
      </c>
      <c r="P281" s="4" t="n">
        <f aca="false">Raw_Data!P281</f>
        <v>8</v>
      </c>
      <c r="Q281" s="4" t="str">
        <f aca="false">IF(OR(B281="",B281=0),"Unknown",IF(B281&lt;=25,"18-25",IF(B281&lt;=35,"26-35",IF(B281&lt;=45,"36-45","46+"))))</f>
        <v>18-25</v>
      </c>
      <c r="R281" s="4" t="n">
        <f aca="false">IF(F281="Below 20,000",10000,IF(F281="20,000-40,000",30000,IF(F281="40,000-60,000",50000,IF(F281="60,000-80,000",70000,IF(F281="Above 80,000",100000,0)))))</f>
        <v>70000</v>
      </c>
      <c r="S281" s="4" t="n">
        <f aca="false">IF(G281="Yes",1,0)</f>
        <v>1</v>
      </c>
    </row>
    <row r="282" customFormat="false" ht="15" hidden="false" customHeight="true" outlineLevel="0" collapsed="false">
      <c r="A282" s="3" t="str">
        <f aca="false">Raw_Data!A282</f>
        <v>R281</v>
      </c>
      <c r="B282" s="3" t="n">
        <f aca="false">Raw_Data!B282</f>
        <v>59</v>
      </c>
      <c r="C282" s="3" t="str">
        <f aca="false">Raw_Data!C282</f>
        <v>Female</v>
      </c>
      <c r="D282" s="3" t="str">
        <f aca="false">Raw_Data!D282</f>
        <v>Jaipur</v>
      </c>
      <c r="E282" s="3" t="str">
        <f aca="false">Raw_Data!E282</f>
        <v>Government Employee</v>
      </c>
      <c r="F282" s="3" t="str">
        <f aca="false">Raw_Data!F282</f>
        <v>40,000-60,000</v>
      </c>
      <c r="G282" s="3" t="str">
        <f aca="false">Raw_Data!G282</f>
        <v>Yes</v>
      </c>
      <c r="H282" s="3" t="str">
        <f aca="false">Raw_Data!H282</f>
        <v>Groww</v>
      </c>
      <c r="I282" s="3" t="str">
        <f aca="false">Raw_Data!I282</f>
        <v>Quarterly</v>
      </c>
      <c r="J282" s="3" t="n">
        <f aca="false">Raw_Data!J282</f>
        <v>2364</v>
      </c>
      <c r="K282" s="3" t="str">
        <f aca="false">Raw_Data!K282</f>
        <v>Investment</v>
      </c>
      <c r="L282" s="3" t="n">
        <f aca="false">Raw_Data!L282</f>
        <v>3</v>
      </c>
      <c r="M282" s="3" t="str">
        <f aca="false">Raw_Data!M282</f>
        <v>High</v>
      </c>
      <c r="N282" s="3" t="str">
        <f aca="false">Raw_Data!N282</f>
        <v>Fixed Deposit</v>
      </c>
      <c r="O282" s="3" t="n">
        <f aca="false">Raw_Data!O282</f>
        <v>2</v>
      </c>
      <c r="P282" s="3" t="n">
        <f aca="false">Raw_Data!P282</f>
        <v>7</v>
      </c>
      <c r="Q282" s="3" t="str">
        <f aca="false">IF(OR(B282="",B282=0),"Unknown",IF(B282&lt;=25,"18-25",IF(B282&lt;=35,"26-35",IF(B282&lt;=45,"36-45","46+"))))</f>
        <v>46+</v>
      </c>
      <c r="R282" s="3" t="n">
        <f aca="false">IF(F282="Below 20,000",10000,IF(F282="20,000-40,000",30000,IF(F282="40,000-60,000",50000,IF(F282="60,000-80,000",70000,IF(F282="Above 80,000",100000,0)))))</f>
        <v>50000</v>
      </c>
      <c r="S282" s="3" t="n">
        <f aca="false">IF(G282="Yes",1,0)</f>
        <v>1</v>
      </c>
    </row>
    <row r="283" customFormat="false" ht="15" hidden="false" customHeight="true" outlineLevel="0" collapsed="false">
      <c r="A283" s="4" t="str">
        <f aca="false">Raw_Data!A283</f>
        <v>R282</v>
      </c>
      <c r="B283" s="4" t="n">
        <f aca="false">Raw_Data!B283</f>
        <v>27</v>
      </c>
      <c r="C283" s="4" t="str">
        <f aca="false">Raw_Data!C283</f>
        <v>Male</v>
      </c>
      <c r="D283" s="4" t="str">
        <f aca="false">Raw_Data!D283</f>
        <v>Jaipur</v>
      </c>
      <c r="E283" s="4" t="str">
        <f aca="false">Raw_Data!E283</f>
        <v>Salaried</v>
      </c>
      <c r="F283" s="4" t="str">
        <f aca="false">Raw_Data!F283</f>
        <v>40,000-60,000</v>
      </c>
      <c r="G283" s="4" t="str">
        <f aca="false">Raw_Data!G283</f>
        <v>Yes</v>
      </c>
      <c r="H283" s="4" t="str">
        <f aca="false">Raw_Data!H283</f>
        <v>Others</v>
      </c>
      <c r="I283" s="4" t="str">
        <f aca="false">Raw_Data!I283</f>
        <v>Rarely</v>
      </c>
      <c r="J283" s="4" t="n">
        <f aca="false">Raw_Data!J283</f>
        <v>6922</v>
      </c>
      <c r="K283" s="4" t="str">
        <f aca="false">Raw_Data!K283</f>
        <v>Gifting</v>
      </c>
      <c r="L283" s="4" t="n">
        <f aca="false">Raw_Data!L283</f>
        <v>4</v>
      </c>
      <c r="M283" s="4" t="str">
        <f aca="false">Raw_Data!M283</f>
        <v>High</v>
      </c>
      <c r="N283" s="4" t="str">
        <f aca="false">Raw_Data!N283</f>
        <v>Digital Gold</v>
      </c>
      <c r="O283" s="4" t="n">
        <f aca="false">Raw_Data!O283</f>
        <v>3</v>
      </c>
      <c r="P283" s="4" t="n">
        <f aca="false">Raw_Data!P283</f>
        <v>2</v>
      </c>
      <c r="Q283" s="4" t="str">
        <f aca="false">IF(OR(B283="",B283=0),"Unknown",IF(B283&lt;=25,"18-25",IF(B283&lt;=35,"26-35",IF(B283&lt;=45,"36-45","46+"))))</f>
        <v>26-35</v>
      </c>
      <c r="R283" s="4" t="n">
        <f aca="false">IF(F283="Below 20,000",10000,IF(F283="20,000-40,000",30000,IF(F283="40,000-60,000",50000,IF(F283="60,000-80,000",70000,IF(F283="Above 80,000",100000,0)))))</f>
        <v>50000</v>
      </c>
      <c r="S283" s="4" t="n">
        <f aca="false">IF(G283="Yes",1,0)</f>
        <v>1</v>
      </c>
    </row>
    <row r="284" customFormat="false" ht="15" hidden="false" customHeight="true" outlineLevel="0" collapsed="false">
      <c r="A284" s="3" t="str">
        <f aca="false">Raw_Data!A284</f>
        <v>R283</v>
      </c>
      <c r="B284" s="3" t="n">
        <f aca="false">Raw_Data!B284</f>
        <v>35</v>
      </c>
      <c r="C284" s="3" t="n">
        <f aca="false">Raw_Data!C284</f>
        <v>0</v>
      </c>
      <c r="D284" s="3" t="str">
        <f aca="false">Raw_Data!D284</f>
        <v>Lucknow</v>
      </c>
      <c r="E284" s="3" t="str">
        <f aca="false">Raw_Data!E284</f>
        <v>Government Employee</v>
      </c>
      <c r="F284" s="3" t="str">
        <f aca="false">Raw_Data!F284</f>
        <v>40,000-60,000</v>
      </c>
      <c r="G284" s="3" t="str">
        <f aca="false">Raw_Data!G284</f>
        <v>No</v>
      </c>
      <c r="H284" s="3" t="n">
        <f aca="false">Raw_Data!H284</f>
        <v>0</v>
      </c>
      <c r="I284" s="3" t="n">
        <f aca="false">Raw_Data!I284</f>
        <v>0</v>
      </c>
      <c r="J284" s="3" t="n">
        <f aca="false">Raw_Data!J284</f>
        <v>0</v>
      </c>
      <c r="K284" s="3" t="n">
        <f aca="false">Raw_Data!K284</f>
        <v>0</v>
      </c>
      <c r="L284" s="3" t="n">
        <f aca="false">Raw_Data!L284</f>
        <v>1</v>
      </c>
      <c r="M284" s="3" t="str">
        <f aca="false">Raw_Data!M284</f>
        <v>Medium</v>
      </c>
      <c r="N284" s="3" t="str">
        <f aca="false">Raw_Data!N284</f>
        <v>Fixed Deposit</v>
      </c>
      <c r="O284" s="3" t="n">
        <f aca="false">Raw_Data!O284</f>
        <v>2</v>
      </c>
      <c r="P284" s="3" t="n">
        <f aca="false">Raw_Data!P284</f>
        <v>8</v>
      </c>
      <c r="Q284" s="3" t="str">
        <f aca="false">IF(OR(B284="",B284=0),"Unknown",IF(B284&lt;=25,"18-25",IF(B284&lt;=35,"26-35",IF(B284&lt;=45,"36-45","46+"))))</f>
        <v>26-35</v>
      </c>
      <c r="R284" s="3" t="n">
        <f aca="false">IF(F284="Below 20,000",10000,IF(F284="20,000-40,000",30000,IF(F284="40,000-60,000",50000,IF(F284="60,000-80,000",70000,IF(F284="Above 80,000",100000,0)))))</f>
        <v>50000</v>
      </c>
      <c r="S284" s="3" t="n">
        <f aca="false">IF(G284="Yes",1,0)</f>
        <v>0</v>
      </c>
    </row>
    <row r="285" customFormat="false" ht="15" hidden="false" customHeight="true" outlineLevel="0" collapsed="false">
      <c r="A285" s="4" t="str">
        <f aca="false">Raw_Data!A285</f>
        <v>R284</v>
      </c>
      <c r="B285" s="4" t="n">
        <f aca="false">Raw_Data!B285</f>
        <v>44</v>
      </c>
      <c r="C285" s="4" t="str">
        <f aca="false">Raw_Data!C285</f>
        <v>Male</v>
      </c>
      <c r="D285" s="4" t="str">
        <f aca="false">Raw_Data!D285</f>
        <v>Pune</v>
      </c>
      <c r="E285" s="4" t="str">
        <f aca="false">Raw_Data!E285</f>
        <v>Freelancer</v>
      </c>
      <c r="F285" s="4" t="str">
        <f aca="false">Raw_Data!F285</f>
        <v>40,000-60,000</v>
      </c>
      <c r="G285" s="4" t="str">
        <f aca="false">Raw_Data!G285</f>
        <v>Yes</v>
      </c>
      <c r="H285" s="4" t="str">
        <f aca="false">Raw_Data!H285</f>
        <v>Zerodha</v>
      </c>
      <c r="I285" s="4" t="str">
        <f aca="false">Raw_Data!I285</f>
        <v>Monthly</v>
      </c>
      <c r="J285" s="4" t="n">
        <f aca="false">Raw_Data!J285</f>
        <v>5299</v>
      </c>
      <c r="K285" s="4" t="str">
        <f aca="false">Raw_Data!K285</f>
        <v>Investment</v>
      </c>
      <c r="L285" s="4" t="n">
        <f aca="false">Raw_Data!L285</f>
        <v>4</v>
      </c>
      <c r="M285" s="4" t="str">
        <f aca="false">Raw_Data!M285</f>
        <v>Low</v>
      </c>
      <c r="N285" s="4" t="str">
        <f aca="false">Raw_Data!N285</f>
        <v>Digital Gold</v>
      </c>
      <c r="O285" s="4" t="n">
        <f aca="false">Raw_Data!O285</f>
        <v>5</v>
      </c>
      <c r="P285" s="4" t="n">
        <f aca="false">Raw_Data!P285</f>
        <v>10</v>
      </c>
      <c r="Q285" s="4" t="str">
        <f aca="false">IF(OR(B285="",B285=0),"Unknown",IF(B285&lt;=25,"18-25",IF(B285&lt;=35,"26-35",IF(B285&lt;=45,"36-45","46+"))))</f>
        <v>36-45</v>
      </c>
      <c r="R285" s="4" t="n">
        <f aca="false">IF(F285="Below 20,000",10000,IF(F285="20,000-40,000",30000,IF(F285="40,000-60,000",50000,IF(F285="60,000-80,000",70000,IF(F285="Above 80,000",100000,0)))))</f>
        <v>50000</v>
      </c>
      <c r="S285" s="4" t="n">
        <f aca="false">IF(G285="Yes",1,0)</f>
        <v>1</v>
      </c>
    </row>
    <row r="286" customFormat="false" ht="15" hidden="false" customHeight="true" outlineLevel="0" collapsed="false">
      <c r="A286" s="3" t="str">
        <f aca="false">Raw_Data!A286</f>
        <v>R285</v>
      </c>
      <c r="B286" s="3" t="n">
        <f aca="false">Raw_Data!B286</f>
        <v>47</v>
      </c>
      <c r="C286" s="3" t="str">
        <f aca="false">Raw_Data!C286</f>
        <v>Male</v>
      </c>
      <c r="D286" s="3" t="str">
        <f aca="false">Raw_Data!D286</f>
        <v>Jaipur</v>
      </c>
      <c r="E286" s="3" t="str">
        <f aca="false">Raw_Data!E286</f>
        <v>Business</v>
      </c>
      <c r="F286" s="3" t="str">
        <f aca="false">Raw_Data!F286</f>
        <v>Above 80,000</v>
      </c>
      <c r="G286" s="3" t="str">
        <f aca="false">Raw_Data!G286</f>
        <v>Yes</v>
      </c>
      <c r="H286" s="3" t="str">
        <f aca="false">Raw_Data!H286</f>
        <v>Google Pay</v>
      </c>
      <c r="I286" s="3" t="str">
        <f aca="false">Raw_Data!I286</f>
        <v>Daily</v>
      </c>
      <c r="J286" s="3" t="n">
        <f aca="false">Raw_Data!J286</f>
        <v>13927</v>
      </c>
      <c r="K286" s="3" t="str">
        <f aca="false">Raw_Data!K286</f>
        <v>Gifting</v>
      </c>
      <c r="L286" s="3" t="n">
        <f aca="false">Raw_Data!L286</f>
        <v>0</v>
      </c>
      <c r="M286" s="3" t="str">
        <f aca="false">Raw_Data!M286</f>
        <v>High</v>
      </c>
      <c r="N286" s="3" t="str">
        <f aca="false">Raw_Data!N286</f>
        <v>Fixed Deposit</v>
      </c>
      <c r="O286" s="3" t="n">
        <f aca="false">Raw_Data!O286</f>
        <v>2</v>
      </c>
      <c r="P286" s="3" t="n">
        <f aca="false">Raw_Data!P286</f>
        <v>8</v>
      </c>
      <c r="Q286" s="3" t="str">
        <f aca="false">IF(OR(B286="",B286=0),"Unknown",IF(B286&lt;=25,"18-25",IF(B286&lt;=35,"26-35",IF(B286&lt;=45,"36-45","46+"))))</f>
        <v>46+</v>
      </c>
      <c r="R286" s="3" t="n">
        <f aca="false">IF(F286="Below 20,000",10000,IF(F286="20,000-40,000",30000,IF(F286="40,000-60,000",50000,IF(F286="60,000-80,000",70000,IF(F286="Above 80,000",100000,0)))))</f>
        <v>100000</v>
      </c>
      <c r="S286" s="3" t="n">
        <f aca="false">IF(G286="Yes",1,0)</f>
        <v>1</v>
      </c>
    </row>
    <row r="287" customFormat="false" ht="15" hidden="false" customHeight="true" outlineLevel="0" collapsed="false">
      <c r="A287" s="4" t="str">
        <f aca="false">Raw_Data!A287</f>
        <v>R286</v>
      </c>
      <c r="B287" s="4" t="n">
        <f aca="false">Raw_Data!B287</f>
        <v>28</v>
      </c>
      <c r="C287" s="4" t="str">
        <f aca="false">Raw_Data!C287</f>
        <v>Male</v>
      </c>
      <c r="D287" s="4" t="str">
        <f aca="false">Raw_Data!D287</f>
        <v>Pune</v>
      </c>
      <c r="E287" s="4" t="str">
        <f aca="false">Raw_Data!E287</f>
        <v>Salaried</v>
      </c>
      <c r="F287" s="4" t="str">
        <f aca="false">Raw_Data!F287</f>
        <v>60,000-80,000</v>
      </c>
      <c r="G287" s="4" t="str">
        <f aca="false">Raw_Data!G287</f>
        <v>Yes</v>
      </c>
      <c r="H287" s="4" t="str">
        <f aca="false">Raw_Data!H287</f>
        <v>Groww</v>
      </c>
      <c r="I287" s="4" t="str">
        <f aca="false">Raw_Data!I287</f>
        <v>Daily</v>
      </c>
      <c r="J287" s="4" t="n">
        <f aca="false">Raw_Data!J287</f>
        <v>11780</v>
      </c>
      <c r="K287" s="4" t="str">
        <f aca="false">Raw_Data!K287</f>
        <v>Gifting</v>
      </c>
      <c r="L287" s="4" t="n">
        <f aca="false">Raw_Data!L287</f>
        <v>2</v>
      </c>
      <c r="M287" s="4" t="str">
        <f aca="false">Raw_Data!M287</f>
        <v>Medium</v>
      </c>
      <c r="N287" s="4" t="str">
        <f aca="false">Raw_Data!N287</f>
        <v>Mutual Funds</v>
      </c>
      <c r="O287" s="4" t="n">
        <f aca="false">Raw_Data!O287</f>
        <v>4</v>
      </c>
      <c r="P287" s="4" t="n">
        <f aca="false">Raw_Data!P287</f>
        <v>5</v>
      </c>
      <c r="Q287" s="4" t="str">
        <f aca="false">IF(OR(B287="",B287=0),"Unknown",IF(B287&lt;=25,"18-25",IF(B287&lt;=35,"26-35",IF(B287&lt;=45,"36-45","46+"))))</f>
        <v>26-35</v>
      </c>
      <c r="R287" s="4" t="n">
        <f aca="false">IF(F287="Below 20,000",10000,IF(F287="20,000-40,000",30000,IF(F287="40,000-60,000",50000,IF(F287="60,000-80,000",70000,IF(F287="Above 80,000",100000,0)))))</f>
        <v>70000</v>
      </c>
      <c r="S287" s="4" t="n">
        <f aca="false">IF(G287="Yes",1,0)</f>
        <v>1</v>
      </c>
    </row>
    <row r="288" customFormat="false" ht="15" hidden="false" customHeight="true" outlineLevel="0" collapsed="false">
      <c r="A288" s="3" t="str">
        <f aca="false">Raw_Data!A288</f>
        <v>R287</v>
      </c>
      <c r="B288" s="3" t="n">
        <f aca="false">Raw_Data!B288</f>
        <v>31</v>
      </c>
      <c r="C288" s="3" t="str">
        <f aca="false">Raw_Data!C288</f>
        <v>Male</v>
      </c>
      <c r="D288" s="3" t="str">
        <f aca="false">Raw_Data!D288</f>
        <v>Delhi</v>
      </c>
      <c r="E288" s="3" t="str">
        <f aca="false">Raw_Data!E288</f>
        <v>Student</v>
      </c>
      <c r="F288" s="3" t="str">
        <f aca="false">Raw_Data!F288</f>
        <v>20,000-40,000</v>
      </c>
      <c r="G288" s="3" t="str">
        <f aca="false">Raw_Data!G288</f>
        <v>No</v>
      </c>
      <c r="H288" s="3" t="str">
        <f aca="false">Raw_Data!H288</f>
        <v>Zerodha</v>
      </c>
      <c r="I288" s="3" t="n">
        <f aca="false">Raw_Data!I288</f>
        <v>0</v>
      </c>
      <c r="J288" s="3" t="n">
        <f aca="false">Raw_Data!J288</f>
        <v>0</v>
      </c>
      <c r="K288" s="3" t="n">
        <f aca="false">Raw_Data!K288</f>
        <v>0</v>
      </c>
      <c r="L288" s="3" t="n">
        <f aca="false">Raw_Data!L288</f>
        <v>3</v>
      </c>
      <c r="M288" s="3" t="str">
        <f aca="false">Raw_Data!M288</f>
        <v>High</v>
      </c>
      <c r="N288" s="3" t="str">
        <f aca="false">Raw_Data!N288</f>
        <v>Fixed Deposit</v>
      </c>
      <c r="O288" s="3" t="n">
        <f aca="false">Raw_Data!O288</f>
        <v>2</v>
      </c>
      <c r="P288" s="3" t="n">
        <f aca="false">Raw_Data!P288</f>
        <v>2</v>
      </c>
      <c r="Q288" s="3" t="str">
        <f aca="false">IF(OR(B288="",B288=0),"Unknown",IF(B288&lt;=25,"18-25",IF(B288&lt;=35,"26-35",IF(B288&lt;=45,"36-45","46+"))))</f>
        <v>26-35</v>
      </c>
      <c r="R288" s="3" t="n">
        <f aca="false">IF(F288="Below 20,000",10000,IF(F288="20,000-40,000",30000,IF(F288="40,000-60,000",50000,IF(F288="60,000-80,000",70000,IF(F288="Above 80,000",100000,0)))))</f>
        <v>30000</v>
      </c>
      <c r="S288" s="3" t="n">
        <f aca="false">IF(G288="Yes",1,0)</f>
        <v>0</v>
      </c>
    </row>
    <row r="289" customFormat="false" ht="15" hidden="false" customHeight="true" outlineLevel="0" collapsed="false">
      <c r="A289" s="4" t="str">
        <f aca="false">Raw_Data!A289</f>
        <v>R288</v>
      </c>
      <c r="B289" s="4" t="n">
        <f aca="false">Raw_Data!B289</f>
        <v>26</v>
      </c>
      <c r="C289" s="4" t="str">
        <f aca="false">Raw_Data!C289</f>
        <v>Male</v>
      </c>
      <c r="D289" s="4" t="str">
        <f aca="false">Raw_Data!D289</f>
        <v>Ahmedabad</v>
      </c>
      <c r="E289" s="4" t="str">
        <f aca="false">Raw_Data!E289</f>
        <v>Salaried</v>
      </c>
      <c r="F289" s="4" t="str">
        <f aca="false">Raw_Data!F289</f>
        <v>Below 20,000</v>
      </c>
      <c r="G289" s="4" t="str">
        <f aca="false">Raw_Data!G289</f>
        <v>Yes</v>
      </c>
      <c r="H289" s="4" t="str">
        <f aca="false">Raw_Data!H289</f>
        <v>Others</v>
      </c>
      <c r="I289" s="4" t="str">
        <f aca="false">Raw_Data!I289</f>
        <v>Quarterly</v>
      </c>
      <c r="J289" s="4" t="n">
        <f aca="false">Raw_Data!J289</f>
        <v>598</v>
      </c>
      <c r="K289" s="4" t="str">
        <f aca="false">Raw_Data!K289</f>
        <v>Savings</v>
      </c>
      <c r="L289" s="4" t="n">
        <f aca="false">Raw_Data!L289</f>
        <v>3</v>
      </c>
      <c r="M289" s="4" t="str">
        <f aca="false">Raw_Data!M289</f>
        <v>Low</v>
      </c>
      <c r="N289" s="4" t="str">
        <f aca="false">Raw_Data!N289</f>
        <v>Mutual Funds</v>
      </c>
      <c r="O289" s="4" t="n">
        <f aca="false">Raw_Data!O289</f>
        <v>3</v>
      </c>
      <c r="P289" s="4" t="n">
        <f aca="false">Raw_Data!P289</f>
        <v>10</v>
      </c>
      <c r="Q289" s="4" t="str">
        <f aca="false">IF(OR(B289="",B289=0),"Unknown",IF(B289&lt;=25,"18-25",IF(B289&lt;=35,"26-35",IF(B289&lt;=45,"36-45","46+"))))</f>
        <v>26-35</v>
      </c>
      <c r="R289" s="4" t="n">
        <f aca="false">IF(F289="Below 20,000",10000,IF(F289="20,000-40,000",30000,IF(F289="40,000-60,000",50000,IF(F289="60,000-80,000",70000,IF(F289="Above 80,000",100000,0)))))</f>
        <v>10000</v>
      </c>
      <c r="S289" s="4" t="n">
        <f aca="false">IF(G289="Yes",1,0)</f>
        <v>1</v>
      </c>
    </row>
    <row r="290" customFormat="false" ht="15" hidden="false" customHeight="true" outlineLevel="0" collapsed="false">
      <c r="A290" s="3" t="str">
        <f aca="false">Raw_Data!A290</f>
        <v>R289</v>
      </c>
      <c r="B290" s="3" t="n">
        <f aca="false">Raw_Data!B290</f>
        <v>27</v>
      </c>
      <c r="C290" s="3" t="str">
        <f aca="false">Raw_Data!C290</f>
        <v>Male</v>
      </c>
      <c r="D290" s="3" t="str">
        <f aca="false">Raw_Data!D290</f>
        <v>Chennai</v>
      </c>
      <c r="E290" s="3" t="str">
        <f aca="false">Raw_Data!E290</f>
        <v>Salaried</v>
      </c>
      <c r="F290" s="3" t="str">
        <f aca="false">Raw_Data!F290</f>
        <v>Above 80,000</v>
      </c>
      <c r="G290" s="3" t="str">
        <f aca="false">Raw_Data!G290</f>
        <v>Yes</v>
      </c>
      <c r="H290" s="3" t="str">
        <f aca="false">Raw_Data!H290</f>
        <v>PhonePe</v>
      </c>
      <c r="I290" s="3" t="str">
        <f aca="false">Raw_Data!I290</f>
        <v>Rarely</v>
      </c>
      <c r="J290" s="3" t="n">
        <f aca="false">Raw_Data!J290</f>
        <v>24105</v>
      </c>
      <c r="K290" s="3" t="str">
        <f aca="false">Raw_Data!K290</f>
        <v>Savings</v>
      </c>
      <c r="L290" s="3" t="n">
        <f aca="false">Raw_Data!L290</f>
        <v>4</v>
      </c>
      <c r="M290" s="3" t="str">
        <f aca="false">Raw_Data!M290</f>
        <v>Low</v>
      </c>
      <c r="N290" s="3" t="str">
        <f aca="false">Raw_Data!N290</f>
        <v>Digital Gold</v>
      </c>
      <c r="O290" s="3" t="n">
        <f aca="false">Raw_Data!O290</f>
        <v>3</v>
      </c>
      <c r="P290" s="3" t="n">
        <f aca="false">Raw_Data!P290</f>
        <v>6</v>
      </c>
      <c r="Q290" s="3" t="str">
        <f aca="false">IF(OR(B290="",B290=0),"Unknown",IF(B290&lt;=25,"18-25",IF(B290&lt;=35,"26-35",IF(B290&lt;=45,"36-45","46+"))))</f>
        <v>26-35</v>
      </c>
      <c r="R290" s="3" t="n">
        <f aca="false">IF(F290="Below 20,000",10000,IF(F290="20,000-40,000",30000,IF(F290="40,000-60,000",50000,IF(F290="60,000-80,000",70000,IF(F290="Above 80,000",100000,0)))))</f>
        <v>100000</v>
      </c>
      <c r="S290" s="3" t="n">
        <f aca="false">IF(G290="Yes",1,0)</f>
        <v>1</v>
      </c>
    </row>
    <row r="291" customFormat="false" ht="15" hidden="false" customHeight="true" outlineLevel="0" collapsed="false">
      <c r="A291" s="4" t="str">
        <f aca="false">Raw_Data!A291</f>
        <v>R290</v>
      </c>
      <c r="B291" s="4" t="n">
        <f aca="false">Raw_Data!B291</f>
        <v>57</v>
      </c>
      <c r="C291" s="4" t="str">
        <f aca="false">Raw_Data!C291</f>
        <v>Male</v>
      </c>
      <c r="D291" s="4" t="str">
        <f aca="false">Raw_Data!D291</f>
        <v>Lucknow</v>
      </c>
      <c r="E291" s="4" t="str">
        <f aca="false">Raw_Data!E291</f>
        <v>Student</v>
      </c>
      <c r="F291" s="4" t="str">
        <f aca="false">Raw_Data!F291</f>
        <v>Above 80,000</v>
      </c>
      <c r="G291" s="4" t="str">
        <f aca="false">Raw_Data!G291</f>
        <v>Yes</v>
      </c>
      <c r="H291" s="4" t="str">
        <f aca="false">Raw_Data!H291</f>
        <v>Groww</v>
      </c>
      <c r="I291" s="4" t="str">
        <f aca="false">Raw_Data!I291</f>
        <v>Daily</v>
      </c>
      <c r="J291" s="4" t="n">
        <f aca="false">Raw_Data!J291</f>
        <v>19580</v>
      </c>
      <c r="K291" s="4" t="str">
        <f aca="false">Raw_Data!K291</f>
        <v>Savings</v>
      </c>
      <c r="L291" s="4" t="n">
        <f aca="false">Raw_Data!L291</f>
        <v>2</v>
      </c>
      <c r="M291" s="4" t="str">
        <f aca="false">Raw_Data!M291</f>
        <v>High</v>
      </c>
      <c r="N291" s="4" t="str">
        <f aca="false">Raw_Data!N291</f>
        <v>Digital Gold</v>
      </c>
      <c r="O291" s="4" t="n">
        <f aca="false">Raw_Data!O291</f>
        <v>5</v>
      </c>
      <c r="P291" s="4" t="n">
        <f aca="false">Raw_Data!P291</f>
        <v>2</v>
      </c>
      <c r="Q291" s="4" t="str">
        <f aca="false">IF(OR(B291="",B291=0),"Unknown",IF(B291&lt;=25,"18-25",IF(B291&lt;=35,"26-35",IF(B291&lt;=45,"36-45","46+"))))</f>
        <v>46+</v>
      </c>
      <c r="R291" s="4" t="n">
        <f aca="false">IF(F291="Below 20,000",10000,IF(F291="20,000-40,000",30000,IF(F291="40,000-60,000",50000,IF(F291="60,000-80,000",70000,IF(F291="Above 80,000",100000,0)))))</f>
        <v>100000</v>
      </c>
      <c r="S291" s="4" t="n">
        <f aca="false">IF(G291="Yes",1,0)</f>
        <v>1</v>
      </c>
    </row>
    <row r="292" customFormat="false" ht="15" hidden="false" customHeight="true" outlineLevel="0" collapsed="false">
      <c r="A292" s="3" t="str">
        <f aca="false">Raw_Data!A292</f>
        <v>R291</v>
      </c>
      <c r="B292" s="3" t="n">
        <f aca="false">Raw_Data!B292</f>
        <v>40</v>
      </c>
      <c r="C292" s="3" t="str">
        <f aca="false">Raw_Data!C292</f>
        <v>Female</v>
      </c>
      <c r="D292" s="3" t="str">
        <f aca="false">Raw_Data!D292</f>
        <v>Bangalore</v>
      </c>
      <c r="E292" s="3" t="str">
        <f aca="false">Raw_Data!E292</f>
        <v>Student</v>
      </c>
      <c r="F292" s="3" t="str">
        <f aca="false">Raw_Data!F292</f>
        <v>60,000-80,000</v>
      </c>
      <c r="G292" s="3" t="str">
        <f aca="false">Raw_Data!G292</f>
        <v>No</v>
      </c>
      <c r="H292" s="3" t="n">
        <f aca="false">Raw_Data!H292</f>
        <v>0</v>
      </c>
      <c r="I292" s="3" t="n">
        <f aca="false">Raw_Data!I292</f>
        <v>0</v>
      </c>
      <c r="J292" s="3" t="n">
        <f aca="false">Raw_Data!J292</f>
        <v>0</v>
      </c>
      <c r="K292" s="3" t="n">
        <f aca="false">Raw_Data!K292</f>
        <v>0</v>
      </c>
      <c r="L292" s="3" t="n">
        <f aca="false">Raw_Data!L292</f>
        <v>3</v>
      </c>
      <c r="M292" s="3" t="str">
        <f aca="false">Raw_Data!M292</f>
        <v>Low</v>
      </c>
      <c r="N292" s="3" t="str">
        <f aca="false">Raw_Data!N292</f>
        <v>Digital Gold</v>
      </c>
      <c r="O292" s="3" t="n">
        <f aca="false">Raw_Data!O292</f>
        <v>2</v>
      </c>
      <c r="P292" s="3" t="n">
        <f aca="false">Raw_Data!P292</f>
        <v>8</v>
      </c>
      <c r="Q292" s="3" t="str">
        <f aca="false">IF(OR(B292="",B292=0),"Unknown",IF(B292&lt;=25,"18-25",IF(B292&lt;=35,"26-35",IF(B292&lt;=45,"36-45","46+"))))</f>
        <v>36-45</v>
      </c>
      <c r="R292" s="3" t="n">
        <f aca="false">IF(F292="Below 20,000",10000,IF(F292="20,000-40,000",30000,IF(F292="40,000-60,000",50000,IF(F292="60,000-80,000",70000,IF(F292="Above 80,000",100000,0)))))</f>
        <v>70000</v>
      </c>
      <c r="S292" s="3" t="n">
        <f aca="false">IF(G292="Yes",1,0)</f>
        <v>0</v>
      </c>
    </row>
    <row r="293" customFormat="false" ht="15" hidden="false" customHeight="true" outlineLevel="0" collapsed="false">
      <c r="A293" s="4" t="str">
        <f aca="false">Raw_Data!A293</f>
        <v>R292</v>
      </c>
      <c r="B293" s="4" t="n">
        <f aca="false">Raw_Data!B293</f>
        <v>51</v>
      </c>
      <c r="C293" s="4" t="str">
        <f aca="false">Raw_Data!C293</f>
        <v>Female</v>
      </c>
      <c r="D293" s="4" t="str">
        <f aca="false">Raw_Data!D293</f>
        <v>Jaipur</v>
      </c>
      <c r="E293" s="4" t="str">
        <f aca="false">Raw_Data!E293</f>
        <v>Student</v>
      </c>
      <c r="F293" s="4" t="str">
        <f aca="false">Raw_Data!F293</f>
        <v>40,000-60,000</v>
      </c>
      <c r="G293" s="4" t="str">
        <f aca="false">Raw_Data!G293</f>
        <v>Yes</v>
      </c>
      <c r="H293" s="4" t="str">
        <f aca="false">Raw_Data!H293</f>
        <v>MMTC-PAMP</v>
      </c>
      <c r="I293" s="4" t="str">
        <f aca="false">Raw_Data!I293</f>
        <v>Monthly</v>
      </c>
      <c r="J293" s="4" t="n">
        <f aca="false">Raw_Data!J293</f>
        <v>3544</v>
      </c>
      <c r="K293" s="4" t="str">
        <f aca="false">Raw_Data!K293</f>
        <v>Investment</v>
      </c>
      <c r="L293" s="4" t="n">
        <f aca="false">Raw_Data!L293</f>
        <v>1</v>
      </c>
      <c r="M293" s="4" t="str">
        <f aca="false">Raw_Data!M293</f>
        <v>High</v>
      </c>
      <c r="N293" s="4" t="str">
        <f aca="false">Raw_Data!N293</f>
        <v>Physical Gold</v>
      </c>
      <c r="O293" s="4" t="n">
        <f aca="false">Raw_Data!O293</f>
        <v>4</v>
      </c>
      <c r="P293" s="4" t="n">
        <f aca="false">Raw_Data!P293</f>
        <v>9</v>
      </c>
      <c r="Q293" s="4" t="str">
        <f aca="false">IF(OR(B293="",B293=0),"Unknown",IF(B293&lt;=25,"18-25",IF(B293&lt;=35,"26-35",IF(B293&lt;=45,"36-45","46+"))))</f>
        <v>46+</v>
      </c>
      <c r="R293" s="4" t="n">
        <f aca="false">IF(F293="Below 20,000",10000,IF(F293="20,000-40,000",30000,IF(F293="40,000-60,000",50000,IF(F293="60,000-80,000",70000,IF(F293="Above 80,000",100000,0)))))</f>
        <v>50000</v>
      </c>
      <c r="S293" s="4" t="n">
        <f aca="false">IF(G293="Yes",1,0)</f>
        <v>1</v>
      </c>
    </row>
    <row r="294" customFormat="false" ht="15" hidden="false" customHeight="true" outlineLevel="0" collapsed="false">
      <c r="A294" s="3" t="str">
        <f aca="false">Raw_Data!A294</f>
        <v>R293</v>
      </c>
      <c r="B294" s="3" t="n">
        <f aca="false">Raw_Data!B294</f>
        <v>19</v>
      </c>
      <c r="C294" s="3" t="str">
        <f aca="false">Raw_Data!C294</f>
        <v>Female</v>
      </c>
      <c r="D294" s="3" t="str">
        <f aca="false">Raw_Data!D294</f>
        <v>Ahmedabad</v>
      </c>
      <c r="E294" s="3" t="str">
        <f aca="false">Raw_Data!E294</f>
        <v>Freelancer</v>
      </c>
      <c r="F294" s="3" t="n">
        <f aca="false">Raw_Data!F294</f>
        <v>0</v>
      </c>
      <c r="G294" s="3" t="str">
        <f aca="false">Raw_Data!G294</f>
        <v>Yes</v>
      </c>
      <c r="H294" s="3" t="str">
        <f aca="false">Raw_Data!H294</f>
        <v>Others</v>
      </c>
      <c r="I294" s="3" t="str">
        <f aca="false">Raw_Data!I294</f>
        <v>Quarterly</v>
      </c>
      <c r="J294" s="3" t="n">
        <f aca="false">Raw_Data!J294</f>
        <v>0</v>
      </c>
      <c r="K294" s="3" t="str">
        <f aca="false">Raw_Data!K294</f>
        <v>Savings</v>
      </c>
      <c r="L294" s="3" t="n">
        <f aca="false">Raw_Data!L294</f>
        <v>5</v>
      </c>
      <c r="M294" s="3" t="str">
        <f aca="false">Raw_Data!M294</f>
        <v>Medium</v>
      </c>
      <c r="N294" s="3" t="str">
        <f aca="false">Raw_Data!N294</f>
        <v>Digital Gold</v>
      </c>
      <c r="O294" s="3" t="n">
        <f aca="false">Raw_Data!O294</f>
        <v>3</v>
      </c>
      <c r="P294" s="3" t="n">
        <f aca="false">Raw_Data!P294</f>
        <v>3</v>
      </c>
      <c r="Q294" s="3" t="str">
        <f aca="false">IF(OR(B294="",B294=0),"Unknown",IF(B294&lt;=25,"18-25",IF(B294&lt;=35,"26-35",IF(B294&lt;=45,"36-45","46+"))))</f>
        <v>18-25</v>
      </c>
      <c r="R294" s="3" t="n">
        <f aca="false">IF(F294="Below 20,000",10000,IF(F294="20,000-40,000",30000,IF(F294="40,000-60,000",50000,IF(F294="60,000-80,000",70000,IF(F294="Above 80,000",100000,0)))))</f>
        <v>0</v>
      </c>
      <c r="S294" s="3" t="n">
        <f aca="false">IF(G294="Yes",1,0)</f>
        <v>1</v>
      </c>
    </row>
    <row r="295" customFormat="false" ht="15" hidden="false" customHeight="true" outlineLevel="0" collapsed="false">
      <c r="A295" s="4" t="str">
        <f aca="false">Raw_Data!A295</f>
        <v>R294</v>
      </c>
      <c r="B295" s="4" t="n">
        <f aca="false">Raw_Data!B295</f>
        <v>0</v>
      </c>
      <c r="C295" s="4" t="str">
        <f aca="false">Raw_Data!C295</f>
        <v>Male</v>
      </c>
      <c r="D295" s="4" t="str">
        <f aca="false">Raw_Data!D295</f>
        <v>Delhi</v>
      </c>
      <c r="E295" s="4" t="str">
        <f aca="false">Raw_Data!E295</f>
        <v>Salaried</v>
      </c>
      <c r="F295" s="4" t="n">
        <f aca="false">Raw_Data!F295</f>
        <v>0</v>
      </c>
      <c r="G295" s="4" t="str">
        <f aca="false">Raw_Data!G295</f>
        <v>Yes</v>
      </c>
      <c r="H295" s="4" t="str">
        <f aca="false">Raw_Data!H295</f>
        <v>MMTC-PAMP</v>
      </c>
      <c r="I295" s="4" t="str">
        <f aca="false">Raw_Data!I295</f>
        <v>Daily</v>
      </c>
      <c r="J295" s="4" t="n">
        <f aca="false">Raw_Data!J295</f>
        <v>2468</v>
      </c>
      <c r="K295" s="4" t="str">
        <f aca="false">Raw_Data!K295</f>
        <v>Gifting</v>
      </c>
      <c r="L295" s="4" t="n">
        <f aca="false">Raw_Data!L295</f>
        <v>3</v>
      </c>
      <c r="M295" s="4" t="str">
        <f aca="false">Raw_Data!M295</f>
        <v>High</v>
      </c>
      <c r="N295" s="4" t="str">
        <f aca="false">Raw_Data!N295</f>
        <v>Fixed Deposit</v>
      </c>
      <c r="O295" s="4" t="n">
        <f aca="false">Raw_Data!O295</f>
        <v>3</v>
      </c>
      <c r="P295" s="4" t="n">
        <f aca="false">Raw_Data!P295</f>
        <v>3</v>
      </c>
      <c r="Q295" s="4" t="str">
        <f aca="false">IF(OR(B295="",B295=0),"Unknown",IF(B295&lt;=25,"18-25",IF(B295&lt;=35,"26-35",IF(B295&lt;=45,"36-45","46+"))))</f>
        <v>Unknown</v>
      </c>
      <c r="R295" s="4" t="n">
        <f aca="false">IF(F295="Below 20,000",10000,IF(F295="20,000-40,000",30000,IF(F295="40,000-60,000",50000,IF(F295="60,000-80,000",70000,IF(F295="Above 80,000",100000,0)))))</f>
        <v>0</v>
      </c>
      <c r="S295" s="4" t="n">
        <f aca="false">IF(G295="Yes",1,0)</f>
        <v>1</v>
      </c>
    </row>
    <row r="296" customFormat="false" ht="15" hidden="false" customHeight="true" outlineLevel="0" collapsed="false">
      <c r="A296" s="3" t="str">
        <f aca="false">Raw_Data!A296</f>
        <v>R295</v>
      </c>
      <c r="B296" s="3" t="n">
        <f aca="false">Raw_Data!B296</f>
        <v>53</v>
      </c>
      <c r="C296" s="3" t="str">
        <f aca="false">Raw_Data!C296</f>
        <v>Female</v>
      </c>
      <c r="D296" s="3" t="str">
        <f aca="false">Raw_Data!D296</f>
        <v>Kolkata</v>
      </c>
      <c r="E296" s="3" t="str">
        <f aca="false">Raw_Data!E296</f>
        <v>Student</v>
      </c>
      <c r="F296" s="3" t="str">
        <f aca="false">Raw_Data!F296</f>
        <v>Above 80,000</v>
      </c>
      <c r="G296" s="3" t="str">
        <f aca="false">Raw_Data!G296</f>
        <v>Yes</v>
      </c>
      <c r="H296" s="3" t="str">
        <f aca="false">Raw_Data!H296</f>
        <v>Google Pay</v>
      </c>
      <c r="I296" s="3" t="str">
        <f aca="false">Raw_Data!I296</f>
        <v>Monthly</v>
      </c>
      <c r="J296" s="3" t="n">
        <f aca="false">Raw_Data!J296</f>
        <v>0</v>
      </c>
      <c r="K296" s="3" t="str">
        <f aca="false">Raw_Data!K296</f>
        <v>Gifting</v>
      </c>
      <c r="L296" s="3" t="n">
        <f aca="false">Raw_Data!L296</f>
        <v>5</v>
      </c>
      <c r="M296" s="3" t="str">
        <f aca="false">Raw_Data!M296</f>
        <v>Low</v>
      </c>
      <c r="N296" s="3" t="str">
        <f aca="false">Raw_Data!N296</f>
        <v>Digital Gold</v>
      </c>
      <c r="O296" s="3" t="n">
        <f aca="false">Raw_Data!O296</f>
        <v>4</v>
      </c>
      <c r="P296" s="3" t="n">
        <f aca="false">Raw_Data!P296</f>
        <v>9</v>
      </c>
      <c r="Q296" s="3" t="str">
        <f aca="false">IF(OR(B296="",B296=0),"Unknown",IF(B296&lt;=25,"18-25",IF(B296&lt;=35,"26-35",IF(B296&lt;=45,"36-45","46+"))))</f>
        <v>46+</v>
      </c>
      <c r="R296" s="3" t="n">
        <f aca="false">IF(F296="Below 20,000",10000,IF(F296="20,000-40,000",30000,IF(F296="40,000-60,000",50000,IF(F296="60,000-80,000",70000,IF(F296="Above 80,000",100000,0)))))</f>
        <v>100000</v>
      </c>
      <c r="S296" s="3" t="n">
        <f aca="false">IF(G296="Yes",1,0)</f>
        <v>1</v>
      </c>
    </row>
    <row r="297" customFormat="false" ht="15" hidden="false" customHeight="true" outlineLevel="0" collapsed="false">
      <c r="A297" s="4" t="str">
        <f aca="false">Raw_Data!A297</f>
        <v>R296</v>
      </c>
      <c r="B297" s="4" t="n">
        <f aca="false">Raw_Data!B297</f>
        <v>46</v>
      </c>
      <c r="C297" s="4" t="str">
        <f aca="false">Raw_Data!C297</f>
        <v>Female</v>
      </c>
      <c r="D297" s="4" t="str">
        <f aca="false">Raw_Data!D297</f>
        <v>Pune</v>
      </c>
      <c r="E297" s="4" t="str">
        <f aca="false">Raw_Data!E297</f>
        <v>Business</v>
      </c>
      <c r="F297" s="4" t="str">
        <f aca="false">Raw_Data!F297</f>
        <v>Above 80,000</v>
      </c>
      <c r="G297" s="4" t="str">
        <f aca="false">Raw_Data!G297</f>
        <v>Yes</v>
      </c>
      <c r="H297" s="4" t="str">
        <f aca="false">Raw_Data!H297</f>
        <v>Google Pay</v>
      </c>
      <c r="I297" s="4" t="str">
        <f aca="false">Raw_Data!I297</f>
        <v>Daily</v>
      </c>
      <c r="J297" s="4" t="n">
        <f aca="false">Raw_Data!J297</f>
        <v>14386</v>
      </c>
      <c r="K297" s="4" t="str">
        <f aca="false">Raw_Data!K297</f>
        <v>Savings</v>
      </c>
      <c r="L297" s="4" t="n">
        <f aca="false">Raw_Data!L297</f>
        <v>2</v>
      </c>
      <c r="M297" s="4" t="str">
        <f aca="false">Raw_Data!M297</f>
        <v>High</v>
      </c>
      <c r="N297" s="4" t="str">
        <f aca="false">Raw_Data!N297</f>
        <v>Digital Gold</v>
      </c>
      <c r="O297" s="4" t="n">
        <f aca="false">Raw_Data!O297</f>
        <v>5</v>
      </c>
      <c r="P297" s="4" t="n">
        <f aca="false">Raw_Data!P297</f>
        <v>9</v>
      </c>
      <c r="Q297" s="4" t="str">
        <f aca="false">IF(OR(B297="",B297=0),"Unknown",IF(B297&lt;=25,"18-25",IF(B297&lt;=35,"26-35",IF(B297&lt;=45,"36-45","46+"))))</f>
        <v>46+</v>
      </c>
      <c r="R297" s="4" t="n">
        <f aca="false">IF(F297="Below 20,000",10000,IF(F297="20,000-40,000",30000,IF(F297="40,000-60,000",50000,IF(F297="60,000-80,000",70000,IF(F297="Above 80,000",100000,0)))))</f>
        <v>100000</v>
      </c>
      <c r="S297" s="4" t="n">
        <f aca="false">IF(G297="Yes",1,0)</f>
        <v>1</v>
      </c>
    </row>
    <row r="298" customFormat="false" ht="15" hidden="false" customHeight="true" outlineLevel="0" collapsed="false">
      <c r="A298" s="3" t="str">
        <f aca="false">Raw_Data!A298</f>
        <v>R297</v>
      </c>
      <c r="B298" s="3" t="n">
        <f aca="false">Raw_Data!B298</f>
        <v>49</v>
      </c>
      <c r="C298" s="3" t="str">
        <f aca="false">Raw_Data!C298</f>
        <v>Male</v>
      </c>
      <c r="D298" s="3" t="str">
        <f aca="false">Raw_Data!D298</f>
        <v>Jaipur</v>
      </c>
      <c r="E298" s="3" t="str">
        <f aca="false">Raw_Data!E298</f>
        <v>Homemaker</v>
      </c>
      <c r="F298" s="3" t="str">
        <f aca="false">Raw_Data!F298</f>
        <v>20,000-40,000</v>
      </c>
      <c r="G298" s="3" t="str">
        <f aca="false">Raw_Data!G298</f>
        <v>Yes</v>
      </c>
      <c r="H298" s="3" t="str">
        <f aca="false">Raw_Data!H298</f>
        <v>Others</v>
      </c>
      <c r="I298" s="3" t="str">
        <f aca="false">Raw_Data!I298</f>
        <v>Daily</v>
      </c>
      <c r="J298" s="3" t="n">
        <f aca="false">Raw_Data!J298</f>
        <v>2601</v>
      </c>
      <c r="K298" s="3" t="str">
        <f aca="false">Raw_Data!K298</f>
        <v>Savings</v>
      </c>
      <c r="L298" s="3" t="n">
        <f aca="false">Raw_Data!L298</f>
        <v>4</v>
      </c>
      <c r="M298" s="3" t="str">
        <f aca="false">Raw_Data!M298</f>
        <v>Low</v>
      </c>
      <c r="N298" s="3" t="str">
        <f aca="false">Raw_Data!N298</f>
        <v>Digital Gold</v>
      </c>
      <c r="O298" s="3" t="n">
        <f aca="false">Raw_Data!O298</f>
        <v>3</v>
      </c>
      <c r="P298" s="3" t="n">
        <f aca="false">Raw_Data!P298</f>
        <v>6</v>
      </c>
      <c r="Q298" s="3" t="str">
        <f aca="false">IF(OR(B298="",B298=0),"Unknown",IF(B298&lt;=25,"18-25",IF(B298&lt;=35,"26-35",IF(B298&lt;=45,"36-45","46+"))))</f>
        <v>46+</v>
      </c>
      <c r="R298" s="3" t="n">
        <f aca="false">IF(F298="Below 20,000",10000,IF(F298="20,000-40,000",30000,IF(F298="40,000-60,000",50000,IF(F298="60,000-80,000",70000,IF(F298="Above 80,000",100000,0)))))</f>
        <v>30000</v>
      </c>
      <c r="S298" s="3" t="n">
        <f aca="false">IF(G298="Yes",1,0)</f>
        <v>1</v>
      </c>
    </row>
    <row r="299" customFormat="false" ht="15" hidden="false" customHeight="true" outlineLevel="0" collapsed="false">
      <c r="A299" s="4" t="str">
        <f aca="false">Raw_Data!A299</f>
        <v>R298</v>
      </c>
      <c r="B299" s="4" t="n">
        <f aca="false">Raw_Data!B299</f>
        <v>53</v>
      </c>
      <c r="C299" s="4" t="str">
        <f aca="false">Raw_Data!C299</f>
        <v>Female</v>
      </c>
      <c r="D299" s="4" t="str">
        <f aca="false">Raw_Data!D299</f>
        <v>Jaipur</v>
      </c>
      <c r="E299" s="4" t="str">
        <f aca="false">Raw_Data!E299</f>
        <v>Homemaker</v>
      </c>
      <c r="F299" s="4" t="str">
        <f aca="false">Raw_Data!F299</f>
        <v>40,000-60,000</v>
      </c>
      <c r="G299" s="4" t="str">
        <f aca="false">Raw_Data!G299</f>
        <v>Yes</v>
      </c>
      <c r="H299" s="4" t="str">
        <f aca="false">Raw_Data!H299</f>
        <v>Zerodha</v>
      </c>
      <c r="I299" s="4" t="str">
        <f aca="false">Raw_Data!I299</f>
        <v>Weekly</v>
      </c>
      <c r="J299" s="4" t="n">
        <f aca="false">Raw_Data!J299</f>
        <v>3145</v>
      </c>
      <c r="K299" s="4" t="str">
        <f aca="false">Raw_Data!K299</f>
        <v>Savings</v>
      </c>
      <c r="L299" s="4" t="n">
        <f aca="false">Raw_Data!L299</f>
        <v>5</v>
      </c>
      <c r="M299" s="4" t="str">
        <f aca="false">Raw_Data!M299</f>
        <v>High</v>
      </c>
      <c r="N299" s="4" t="str">
        <f aca="false">Raw_Data!N299</f>
        <v>Mutual Funds</v>
      </c>
      <c r="O299" s="4" t="n">
        <f aca="false">Raw_Data!O299</f>
        <v>3</v>
      </c>
      <c r="P299" s="4" t="n">
        <f aca="false">Raw_Data!P299</f>
        <v>3</v>
      </c>
      <c r="Q299" s="4" t="str">
        <f aca="false">IF(OR(B299="",B299=0),"Unknown",IF(B299&lt;=25,"18-25",IF(B299&lt;=35,"26-35",IF(B299&lt;=45,"36-45","46+"))))</f>
        <v>46+</v>
      </c>
      <c r="R299" s="4" t="n">
        <f aca="false">IF(F299="Below 20,000",10000,IF(F299="20,000-40,000",30000,IF(F299="40,000-60,000",50000,IF(F299="60,000-80,000",70000,IF(F299="Above 80,000",100000,0)))))</f>
        <v>50000</v>
      </c>
      <c r="S299" s="4" t="n">
        <f aca="false">IF(G299="Yes",1,0)</f>
        <v>1</v>
      </c>
    </row>
    <row r="300" customFormat="false" ht="15" hidden="false" customHeight="true" outlineLevel="0" collapsed="false">
      <c r="A300" s="3" t="str">
        <f aca="false">Raw_Data!A300</f>
        <v>R299</v>
      </c>
      <c r="B300" s="3" t="n">
        <f aca="false">Raw_Data!B300</f>
        <v>48</v>
      </c>
      <c r="C300" s="3" t="str">
        <f aca="false">Raw_Data!C300</f>
        <v>Female</v>
      </c>
      <c r="D300" s="3" t="str">
        <f aca="false">Raw_Data!D300</f>
        <v>Kolkata</v>
      </c>
      <c r="E300" s="3" t="str">
        <f aca="false">Raw_Data!E300</f>
        <v>Homemaker</v>
      </c>
      <c r="F300" s="3" t="n">
        <f aca="false">Raw_Data!F300</f>
        <v>0</v>
      </c>
      <c r="G300" s="3" t="str">
        <f aca="false">Raw_Data!G300</f>
        <v>No</v>
      </c>
      <c r="H300" s="3" t="n">
        <f aca="false">Raw_Data!H300</f>
        <v>0</v>
      </c>
      <c r="I300" s="3" t="n">
        <f aca="false">Raw_Data!I300</f>
        <v>0</v>
      </c>
      <c r="J300" s="3" t="n">
        <f aca="false">Raw_Data!J300</f>
        <v>0</v>
      </c>
      <c r="K300" s="3" t="n">
        <f aca="false">Raw_Data!K300</f>
        <v>0</v>
      </c>
      <c r="L300" s="3" t="n">
        <f aca="false">Raw_Data!L300</f>
        <v>2</v>
      </c>
      <c r="M300" s="3" t="str">
        <f aca="false">Raw_Data!M300</f>
        <v>Low</v>
      </c>
      <c r="N300" s="3" t="str">
        <f aca="false">Raw_Data!N300</f>
        <v>Fixed Deposit</v>
      </c>
      <c r="O300" s="3" t="n">
        <f aca="false">Raw_Data!O300</f>
        <v>1</v>
      </c>
      <c r="P300" s="3" t="n">
        <f aca="false">Raw_Data!P300</f>
        <v>3</v>
      </c>
      <c r="Q300" s="3" t="str">
        <f aca="false">IF(OR(B300="",B300=0),"Unknown",IF(B300&lt;=25,"18-25",IF(B300&lt;=35,"26-35",IF(B300&lt;=45,"36-45","46+"))))</f>
        <v>46+</v>
      </c>
      <c r="R300" s="3" t="n">
        <f aca="false">IF(F300="Below 20,000",10000,IF(F300="20,000-40,000",30000,IF(F300="40,000-60,000",50000,IF(F300="60,000-80,000",70000,IF(F300="Above 80,000",100000,0)))))</f>
        <v>0</v>
      </c>
      <c r="S300" s="3" t="n">
        <f aca="false">IF(G300="Yes",1,0)</f>
        <v>0</v>
      </c>
    </row>
    <row r="301" customFormat="false" ht="15" hidden="false" customHeight="true" outlineLevel="0" collapsed="false">
      <c r="A301" s="4" t="str">
        <f aca="false">Raw_Data!A301</f>
        <v>R300</v>
      </c>
      <c r="B301" s="4" t="n">
        <f aca="false">Raw_Data!B301</f>
        <v>30</v>
      </c>
      <c r="C301" s="4" t="str">
        <f aca="false">Raw_Data!C301</f>
        <v>Female</v>
      </c>
      <c r="D301" s="4" t="str">
        <f aca="false">Raw_Data!D301</f>
        <v>Mumbai</v>
      </c>
      <c r="E301" s="4" t="str">
        <f aca="false">Raw_Data!E301</f>
        <v>Homemaker</v>
      </c>
      <c r="F301" s="4" t="str">
        <f aca="false">Raw_Data!F301</f>
        <v>60,000-80,000</v>
      </c>
      <c r="G301" s="4" t="str">
        <f aca="false">Raw_Data!G301</f>
        <v>Yes</v>
      </c>
      <c r="H301" s="4" t="str">
        <f aca="false">Raw_Data!H301</f>
        <v>Paytm</v>
      </c>
      <c r="I301" s="4" t="str">
        <f aca="false">Raw_Data!I301</f>
        <v>Weekly</v>
      </c>
      <c r="J301" s="4" t="n">
        <f aca="false">Raw_Data!J301</f>
        <v>13748</v>
      </c>
      <c r="K301" s="4" t="str">
        <f aca="false">Raw_Data!K301</f>
        <v>Investment</v>
      </c>
      <c r="L301" s="4" t="n">
        <f aca="false">Raw_Data!L301</f>
        <v>1</v>
      </c>
      <c r="M301" s="4" t="str">
        <f aca="false">Raw_Data!M301</f>
        <v>Medium</v>
      </c>
      <c r="N301" s="4" t="str">
        <f aca="false">Raw_Data!N301</f>
        <v>Physical Gold</v>
      </c>
      <c r="O301" s="4" t="n">
        <f aca="false">Raw_Data!O301</f>
        <v>2</v>
      </c>
      <c r="P301" s="4" t="n">
        <f aca="false">Raw_Data!P301</f>
        <v>9</v>
      </c>
      <c r="Q301" s="4" t="str">
        <f aca="false">IF(OR(B301="",B301=0),"Unknown",IF(B301&lt;=25,"18-25",IF(B301&lt;=35,"26-35",IF(B301&lt;=45,"36-45","46+"))))</f>
        <v>26-35</v>
      </c>
      <c r="R301" s="4" t="n">
        <f aca="false">IF(F301="Below 20,000",10000,IF(F301="20,000-40,000",30000,IF(F301="40,000-60,000",50000,IF(F301="60,000-80,000",70000,IF(F301="Above 80,000",100000,0)))))</f>
        <v>70000</v>
      </c>
      <c r="S301" s="4" t="n">
        <f aca="false">IF(G301="Yes",1,0)</f>
        <v>1</v>
      </c>
    </row>
    <row r="302" customFormat="false" ht="15" hidden="false" customHeight="true" outlineLevel="0" collapsed="false">
      <c r="A302" s="3" t="str">
        <f aca="false">Raw_Data!A302</f>
        <v>R301</v>
      </c>
      <c r="B302" s="3" t="n">
        <f aca="false">Raw_Data!B302</f>
        <v>36</v>
      </c>
      <c r="C302" s="3" t="str">
        <f aca="false">Raw_Data!C302</f>
        <v>Male</v>
      </c>
      <c r="D302" s="3" t="str">
        <f aca="false">Raw_Data!D302</f>
        <v>Chennai</v>
      </c>
      <c r="E302" s="3" t="str">
        <f aca="false">Raw_Data!E302</f>
        <v>Student</v>
      </c>
      <c r="F302" s="3" t="str">
        <f aca="false">Raw_Data!F302</f>
        <v>60,000-80,000</v>
      </c>
      <c r="G302" s="3" t="str">
        <f aca="false">Raw_Data!G302</f>
        <v>No</v>
      </c>
      <c r="H302" s="3" t="n">
        <f aca="false">Raw_Data!H302</f>
        <v>0</v>
      </c>
      <c r="I302" s="3" t="n">
        <f aca="false">Raw_Data!I302</f>
        <v>0</v>
      </c>
      <c r="J302" s="3" t="n">
        <f aca="false">Raw_Data!J302</f>
        <v>0</v>
      </c>
      <c r="K302" s="3" t="n">
        <f aca="false">Raw_Data!K302</f>
        <v>0</v>
      </c>
      <c r="L302" s="3" t="n">
        <f aca="false">Raw_Data!L302</f>
        <v>3</v>
      </c>
      <c r="M302" s="3" t="str">
        <f aca="false">Raw_Data!M302</f>
        <v>Low</v>
      </c>
      <c r="N302" s="3" t="str">
        <f aca="false">Raw_Data!N302</f>
        <v>Fixed Deposit</v>
      </c>
      <c r="O302" s="3" t="n">
        <f aca="false">Raw_Data!O302</f>
        <v>1</v>
      </c>
      <c r="P302" s="3" t="n">
        <f aca="false">Raw_Data!P302</f>
        <v>6</v>
      </c>
      <c r="Q302" s="3" t="str">
        <f aca="false">IF(OR(B302="",B302=0),"Unknown",IF(B302&lt;=25,"18-25",IF(B302&lt;=35,"26-35",IF(B302&lt;=45,"36-45","46+"))))</f>
        <v>36-45</v>
      </c>
      <c r="R302" s="3" t="n">
        <f aca="false">IF(F302="Below 20,000",10000,IF(F302="20,000-40,000",30000,IF(F302="40,000-60,000",50000,IF(F302="60,000-80,000",70000,IF(F302="Above 80,000",100000,0)))))</f>
        <v>70000</v>
      </c>
      <c r="S302" s="3" t="n">
        <f aca="false">IF(G302="Yes",1,0)</f>
        <v>0</v>
      </c>
    </row>
    <row r="303" customFormat="false" ht="15" hidden="false" customHeight="true" outlineLevel="0" collapsed="false">
      <c r="A303" s="4" t="str">
        <f aca="false">Raw_Data!A303</f>
        <v>R302</v>
      </c>
      <c r="B303" s="4" t="n">
        <f aca="false">Raw_Data!B303</f>
        <v>49</v>
      </c>
      <c r="C303" s="4" t="str">
        <f aca="false">Raw_Data!C303</f>
        <v>Female</v>
      </c>
      <c r="D303" s="4" t="str">
        <f aca="false">Raw_Data!D303</f>
        <v>Kolkata</v>
      </c>
      <c r="E303" s="4" t="str">
        <f aca="false">Raw_Data!E303</f>
        <v>Salaried</v>
      </c>
      <c r="F303" s="4" t="str">
        <f aca="false">Raw_Data!F303</f>
        <v>60,000-80,000</v>
      </c>
      <c r="G303" s="4" t="str">
        <f aca="false">Raw_Data!G303</f>
        <v>No</v>
      </c>
      <c r="H303" s="4" t="n">
        <f aca="false">Raw_Data!H303</f>
        <v>0</v>
      </c>
      <c r="I303" s="4" t="n">
        <f aca="false">Raw_Data!I303</f>
        <v>0</v>
      </c>
      <c r="J303" s="4" t="n">
        <f aca="false">Raw_Data!J303</f>
        <v>0</v>
      </c>
      <c r="K303" s="4" t="n">
        <f aca="false">Raw_Data!K303</f>
        <v>0</v>
      </c>
      <c r="L303" s="4" t="n">
        <f aca="false">Raw_Data!L303</f>
        <v>0</v>
      </c>
      <c r="M303" s="4" t="str">
        <f aca="false">Raw_Data!M303</f>
        <v>Low</v>
      </c>
      <c r="N303" s="4" t="str">
        <f aca="false">Raw_Data!N303</f>
        <v>Digital Gold</v>
      </c>
      <c r="O303" s="4" t="n">
        <f aca="false">Raw_Data!O303</f>
        <v>3</v>
      </c>
      <c r="P303" s="4" t="n">
        <f aca="false">Raw_Data!P303</f>
        <v>7</v>
      </c>
      <c r="Q303" s="4" t="str">
        <f aca="false">IF(OR(B303="",B303=0),"Unknown",IF(B303&lt;=25,"18-25",IF(B303&lt;=35,"26-35",IF(B303&lt;=45,"36-45","46+"))))</f>
        <v>46+</v>
      </c>
      <c r="R303" s="4" t="n">
        <f aca="false">IF(F303="Below 20,000",10000,IF(F303="20,000-40,000",30000,IF(F303="40,000-60,000",50000,IF(F303="60,000-80,000",70000,IF(F303="Above 80,000",100000,0)))))</f>
        <v>70000</v>
      </c>
      <c r="S303" s="4" t="n">
        <f aca="false">IF(G303="Yes",1,0)</f>
        <v>0</v>
      </c>
    </row>
    <row r="304" customFormat="false" ht="15" hidden="false" customHeight="true" outlineLevel="0" collapsed="false">
      <c r="A304" s="3" t="str">
        <f aca="false">Raw_Data!A304</f>
        <v>R303</v>
      </c>
      <c r="B304" s="3" t="n">
        <f aca="false">Raw_Data!B304</f>
        <v>45</v>
      </c>
      <c r="C304" s="3" t="str">
        <f aca="false">Raw_Data!C304</f>
        <v>Female</v>
      </c>
      <c r="D304" s="3" t="str">
        <f aca="false">Raw_Data!D304</f>
        <v>Delhi</v>
      </c>
      <c r="E304" s="3" t="str">
        <f aca="false">Raw_Data!E304</f>
        <v>Government Employee</v>
      </c>
      <c r="F304" s="3" t="str">
        <f aca="false">Raw_Data!F304</f>
        <v>20,000-40,000</v>
      </c>
      <c r="G304" s="3" t="str">
        <f aca="false">Raw_Data!G304</f>
        <v>Yes</v>
      </c>
      <c r="H304" s="3" t="str">
        <f aca="false">Raw_Data!H304</f>
        <v>Paytm</v>
      </c>
      <c r="I304" s="3" t="n">
        <f aca="false">Raw_Data!I304</f>
        <v>0</v>
      </c>
      <c r="J304" s="3" t="n">
        <f aca="false">Raw_Data!J304</f>
        <v>1115</v>
      </c>
      <c r="K304" s="3" t="str">
        <f aca="false">Raw_Data!K304</f>
        <v>Investment</v>
      </c>
      <c r="L304" s="3" t="n">
        <f aca="false">Raw_Data!L304</f>
        <v>1</v>
      </c>
      <c r="M304" s="3" t="str">
        <f aca="false">Raw_Data!M304</f>
        <v>Medium</v>
      </c>
      <c r="N304" s="3" t="str">
        <f aca="false">Raw_Data!N304</f>
        <v>Mutual Funds</v>
      </c>
      <c r="O304" s="3" t="n">
        <f aca="false">Raw_Data!O304</f>
        <v>3</v>
      </c>
      <c r="P304" s="3" t="n">
        <f aca="false">Raw_Data!P304</f>
        <v>3</v>
      </c>
      <c r="Q304" s="3" t="str">
        <f aca="false">IF(OR(B304="",B304=0),"Unknown",IF(B304&lt;=25,"18-25",IF(B304&lt;=35,"26-35",IF(B304&lt;=45,"36-45","46+"))))</f>
        <v>36-45</v>
      </c>
      <c r="R304" s="3" t="n">
        <f aca="false">IF(F304="Below 20,000",10000,IF(F304="20,000-40,000",30000,IF(F304="40,000-60,000",50000,IF(F304="60,000-80,000",70000,IF(F304="Above 80,000",100000,0)))))</f>
        <v>30000</v>
      </c>
      <c r="S304" s="3" t="n">
        <f aca="false">IF(G304="Yes",1,0)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40"/>
    <col collapsed="false" customWidth="true" hidden="false" outlineLevel="0" max="3" min="3" style="1" width="30"/>
  </cols>
  <sheetData>
    <row r="1" customFormat="false" ht="21.75" hidden="false" customHeight="true" outlineLevel="0" collapsed="false">
      <c r="A1" s="2" t="s">
        <v>369</v>
      </c>
      <c r="B1" s="2" t="s">
        <v>370</v>
      </c>
      <c r="C1" s="2" t="s">
        <v>371</v>
      </c>
    </row>
    <row r="2" customFormat="false" ht="15" hidden="false" customHeight="true" outlineLevel="0" collapsed="false">
      <c r="A2" s="5" t="s">
        <v>372</v>
      </c>
      <c r="B2" s="5"/>
      <c r="C2" s="5"/>
    </row>
    <row r="3" customFormat="false" ht="15" hidden="false" customHeight="true" outlineLevel="0" collapsed="false">
      <c r="A3" s="6" t="s">
        <v>373</v>
      </c>
      <c r="B3" s="7" t="n">
        <f aca="false">COUNTA(Raw_Data!A2:A305)</f>
        <v>303</v>
      </c>
      <c r="C3" s="8" t="s">
        <v>374</v>
      </c>
    </row>
    <row r="4" customFormat="false" ht="15" hidden="false" customHeight="true" outlineLevel="0" collapsed="false">
      <c r="A4" s="6" t="s">
        <v>375</v>
      </c>
      <c r="B4" s="7" t="n">
        <f aca="false">COUNTIF(Raw_Data!G2:G305,"Yes")</f>
        <v>220</v>
      </c>
      <c r="C4" s="8" t="s">
        <v>376</v>
      </c>
    </row>
    <row r="5" customFormat="false" ht="15" hidden="false" customHeight="true" outlineLevel="0" collapsed="false">
      <c r="A5" s="6" t="s">
        <v>377</v>
      </c>
      <c r="B5" s="7" t="n">
        <f aca="false">COUNTIF(Raw_Data!G2:G305,"No")</f>
        <v>83</v>
      </c>
      <c r="C5" s="8" t="s">
        <v>378</v>
      </c>
    </row>
    <row r="6" customFormat="false" ht="15" hidden="false" customHeight="true" outlineLevel="0" collapsed="false">
      <c r="A6" s="6" t="s">
        <v>379</v>
      </c>
      <c r="B6" s="7" t="n">
        <f aca="false">COUNTIF(Raw_Data!H2:H305,"Google Pay")</f>
        <v>29</v>
      </c>
      <c r="C6" s="8" t="s">
        <v>380</v>
      </c>
    </row>
    <row r="7" customFormat="false" ht="15" hidden="false" customHeight="true" outlineLevel="0" collapsed="false">
      <c r="A7" s="6" t="s">
        <v>381</v>
      </c>
      <c r="B7" s="7" t="n">
        <f aca="false">SUMPRODUCT((COUNTIF(Raw_Data!A2:A305,Raw_Data!A2:A305)&gt;1)*1)</f>
        <v>0</v>
      </c>
      <c r="C7" s="8" t="s">
        <v>382</v>
      </c>
    </row>
    <row r="9" customFormat="false" ht="15" hidden="false" customHeight="true" outlineLevel="0" collapsed="false">
      <c r="A9" s="5" t="s">
        <v>383</v>
      </c>
      <c r="B9" s="5"/>
      <c r="C9" s="5"/>
    </row>
    <row r="10" customFormat="false" ht="15" hidden="false" customHeight="true" outlineLevel="0" collapsed="false">
      <c r="A10" s="6" t="s">
        <v>384</v>
      </c>
      <c r="B10" s="7" t="n">
        <f aca="false">SUMIF(Raw_Data!G2:G305,"Yes",Raw_Data!J2:J305)</f>
        <v>1404357</v>
      </c>
      <c r="C10" s="8" t="s">
        <v>385</v>
      </c>
    </row>
    <row r="11" customFormat="false" ht="15" hidden="false" customHeight="true" outlineLevel="0" collapsed="false">
      <c r="A11" s="6" t="s">
        <v>386</v>
      </c>
      <c r="B11" s="7" t="n">
        <f aca="false">AVERAGEIF(Raw_Data!F2:F305,"Above 80,000",Raw_Data!L2:L305)</f>
        <v>2.83333333333333</v>
      </c>
      <c r="C11" s="8" t="s">
        <v>387</v>
      </c>
    </row>
    <row r="12" customFormat="false" ht="15" hidden="false" customHeight="true" outlineLevel="0" collapsed="false">
      <c r="A12" s="6" t="s">
        <v>388</v>
      </c>
      <c r="B12" s="7" t="n">
        <f aca="false">AVERAGEIF(Raw_Data!G2:G305,"Yes",Raw_Data!J2:J305)</f>
        <v>6817.26699029126</v>
      </c>
      <c r="C12" s="8" t="s">
        <v>389</v>
      </c>
    </row>
    <row r="14" customFormat="false" ht="15" hidden="false" customHeight="true" outlineLevel="0" collapsed="false">
      <c r="A14" s="5" t="s">
        <v>390</v>
      </c>
      <c r="B14" s="5"/>
      <c r="C14" s="5"/>
    </row>
    <row r="15" customFormat="false" ht="15" hidden="false" customHeight="true" outlineLevel="0" collapsed="false">
      <c r="A15" s="6" t="s">
        <v>391</v>
      </c>
      <c r="B15" s="7" t="str">
        <f aca="false">IF(L2&gt;=4,"High Trust","Low Trust")</f>
        <v>Low Trust</v>
      </c>
      <c r="C15" s="8" t="s">
        <v>392</v>
      </c>
    </row>
    <row r="16" customFormat="false" ht="15" hidden="false" customHeight="true" outlineLevel="0" collapsed="false">
      <c r="A16" s="6" t="s">
        <v>393</v>
      </c>
      <c r="B16" s="7" t="str">
        <f aca="false">IF(B2&lt;=25,"18-25",IF(B2&lt;=35,"26-35",IF(B2&lt;=45,"36-45","46+")))</f>
        <v>18-25</v>
      </c>
      <c r="C16" s="8" t="s">
        <v>394</v>
      </c>
    </row>
    <row r="17" customFormat="false" ht="15" hidden="false" customHeight="true" outlineLevel="0" collapsed="false">
      <c r="A17" s="6" t="s">
        <v>395</v>
      </c>
      <c r="B17" s="7" t="str">
        <f aca="false">IF(J2&gt;5000,"High",IF(J2&gt;2000,"Medium","Low"))</f>
        <v>Low</v>
      </c>
      <c r="C17" s="8" t="s">
        <v>396</v>
      </c>
    </row>
    <row r="19" customFormat="false" ht="15" hidden="false" customHeight="true" outlineLevel="0" collapsed="false">
      <c r="A19" s="5" t="s">
        <v>397</v>
      </c>
      <c r="B19" s="5"/>
      <c r="C19" s="5"/>
    </row>
    <row r="20" customFormat="false" ht="15" hidden="false" customHeight="true" outlineLevel="0" collapsed="false">
      <c r="A20" s="6" t="s">
        <v>398</v>
      </c>
      <c r="B20" s="7" t="str">
        <f aca="false">IFERROR(CHOOSE(MATCH(F2,{"Below 20,000","20,000-40,000","40,000-60,000","60,000-80,000","Above 80,000"},0),10000,30000,50000,70000,100000),"N/A")</f>
        <v>N/A</v>
      </c>
      <c r="C20" s="8" t="s">
        <v>399</v>
      </c>
    </row>
    <row r="21" customFormat="false" ht="15" hidden="false" customHeight="true" outlineLevel="0" collapsed="false">
      <c r="A21" s="6" t="s">
        <v>400</v>
      </c>
      <c r="B21" s="7" t="str">
        <f aca="false">IFERROR(VLOOKUP(A2,Raw_Data!A:P,10,0),"Not Found")</f>
        <v>Not Found</v>
      </c>
      <c r="C21" s="8" t="s">
        <v>401</v>
      </c>
    </row>
    <row r="23" customFormat="false" ht="15" hidden="false" customHeight="true" outlineLevel="0" collapsed="false">
      <c r="A23" s="5" t="s">
        <v>402</v>
      </c>
      <c r="B23" s="5"/>
      <c r="C23" s="5"/>
    </row>
    <row r="24" customFormat="false" ht="15" hidden="false" customHeight="true" outlineLevel="0" collapsed="false">
      <c r="A24" s="6" t="s">
        <v>403</v>
      </c>
      <c r="B24" s="7" t="str">
        <f aca="false">PROPER(C2)</f>
        <v/>
      </c>
      <c r="C24" s="8" t="s">
        <v>404</v>
      </c>
    </row>
    <row r="25" customFormat="false" ht="15" hidden="false" customHeight="true" outlineLevel="0" collapsed="false">
      <c r="A25" s="6" t="s">
        <v>405</v>
      </c>
      <c r="B25" s="7" t="str">
        <f aca="false">TRIM(D2)</f>
        <v/>
      </c>
      <c r="C25" s="8" t="s">
        <v>406</v>
      </c>
    </row>
    <row r="26" customFormat="false" ht="15" hidden="false" customHeight="true" outlineLevel="0" collapsed="false">
      <c r="A26" s="6" t="s">
        <v>407</v>
      </c>
      <c r="B26" s="7" t="str">
        <f aca="false">TEXT(COUNTIF(Raw_Data!G2:G305,"Yes")/COUNTA(Raw_Data!A2:A305),"0.0%")</f>
        <v>72.6%</v>
      </c>
      <c r="C26" s="8" t="s">
        <v>408</v>
      </c>
    </row>
  </sheetData>
  <mergeCells count="5">
    <mergeCell ref="A2:C2"/>
    <mergeCell ref="A9:C9"/>
    <mergeCell ref="A14:C14"/>
    <mergeCell ref="A19:C19"/>
    <mergeCell ref="A23:C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14"/>
    <col collapsed="false" customWidth="true" hidden="false" outlineLevel="0" max="6" min="6" style="1" width="22"/>
    <col collapsed="false" customWidth="true" hidden="false" outlineLevel="0" max="7" min="7" style="1" width="16"/>
    <col collapsed="false" customWidth="true" hidden="false" outlineLevel="0" max="9" min="9" style="1" width="22"/>
    <col collapsed="false" customWidth="true" hidden="false" outlineLevel="0" max="11" min="10" style="1" width="16"/>
  </cols>
  <sheetData>
    <row r="1" customFormat="false" ht="15" hidden="false" customHeight="true" outlineLevel="0" collapsed="false">
      <c r="A1" s="9" t="s">
        <v>409</v>
      </c>
      <c r="B1" s="9"/>
      <c r="C1" s="9"/>
      <c r="D1" s="9"/>
      <c r="F1" s="9" t="s">
        <v>410</v>
      </c>
      <c r="G1" s="9"/>
      <c r="I1" s="9" t="s">
        <v>411</v>
      </c>
      <c r="J1" s="9"/>
      <c r="K1" s="9"/>
    </row>
    <row r="2" customFormat="false" ht="23.25" hidden="false" customHeight="true" outlineLevel="0" collapsed="false">
      <c r="A2" s="10" t="s">
        <v>393</v>
      </c>
      <c r="B2" s="10" t="s">
        <v>412</v>
      </c>
      <c r="C2" s="10" t="s">
        <v>413</v>
      </c>
      <c r="D2" s="10" t="s">
        <v>414</v>
      </c>
      <c r="F2" s="10" t="s">
        <v>415</v>
      </c>
      <c r="G2" s="10" t="s">
        <v>416</v>
      </c>
      <c r="I2" s="10" t="s">
        <v>417</v>
      </c>
      <c r="J2" s="10" t="s">
        <v>418</v>
      </c>
      <c r="K2" s="10" t="s">
        <v>416</v>
      </c>
    </row>
    <row r="3" customFormat="false" ht="15" hidden="false" customHeight="true" outlineLevel="0" collapsed="false">
      <c r="A3" s="11" t="s">
        <v>419</v>
      </c>
      <c r="B3" s="12" t="n">
        <v>36</v>
      </c>
      <c r="C3" s="12" t="n">
        <v>11</v>
      </c>
      <c r="D3" s="12" t="n">
        <f aca="false">B3+C3</f>
        <v>47</v>
      </c>
      <c r="F3" s="11" t="s">
        <v>31</v>
      </c>
      <c r="G3" s="12" t="n">
        <v>42</v>
      </c>
      <c r="I3" s="11" t="s">
        <v>38</v>
      </c>
      <c r="J3" s="12" t="n">
        <v>680</v>
      </c>
      <c r="K3" s="12" t="n">
        <v>38</v>
      </c>
    </row>
    <row r="4" customFormat="false" ht="15" hidden="false" customHeight="true" outlineLevel="0" collapsed="false">
      <c r="A4" s="11" t="s">
        <v>420</v>
      </c>
      <c r="B4" s="12" t="n">
        <v>49</v>
      </c>
      <c r="C4" s="12" t="n">
        <v>13</v>
      </c>
      <c r="D4" s="12" t="n">
        <f aca="false">B4+C4</f>
        <v>62</v>
      </c>
      <c r="F4" s="11" t="s">
        <v>66</v>
      </c>
      <c r="G4" s="12" t="n">
        <v>36</v>
      </c>
      <c r="I4" s="11" t="s">
        <v>20</v>
      </c>
      <c r="J4" s="12" t="n">
        <v>2220</v>
      </c>
      <c r="K4" s="12" t="n">
        <v>46</v>
      </c>
    </row>
    <row r="5" customFormat="false" ht="15" hidden="false" customHeight="true" outlineLevel="0" collapsed="false">
      <c r="A5" s="11" t="s">
        <v>421</v>
      </c>
      <c r="B5" s="12" t="n">
        <v>41</v>
      </c>
      <c r="C5" s="12" t="n">
        <v>22</v>
      </c>
      <c r="D5" s="12" t="n">
        <f aca="false">B5+C5</f>
        <v>63</v>
      </c>
      <c r="F5" s="11" t="s">
        <v>56</v>
      </c>
      <c r="G5" s="12" t="n">
        <v>34</v>
      </c>
      <c r="I5" s="11" t="s">
        <v>50</v>
      </c>
      <c r="J5" s="12" t="n">
        <v>4110</v>
      </c>
      <c r="K5" s="12" t="n">
        <v>30</v>
      </c>
    </row>
    <row r="6" customFormat="false" ht="15" hidden="false" customHeight="true" outlineLevel="0" collapsed="false">
      <c r="A6" s="11" t="s">
        <v>422</v>
      </c>
      <c r="B6" s="12" t="n">
        <v>84</v>
      </c>
      <c r="C6" s="12" t="n">
        <v>33</v>
      </c>
      <c r="D6" s="12" t="n">
        <f aca="false">B6+C6</f>
        <v>117</v>
      </c>
      <c r="F6" s="11" t="s">
        <v>39</v>
      </c>
      <c r="G6" s="12" t="n">
        <v>32</v>
      </c>
      <c r="I6" s="11" t="s">
        <v>45</v>
      </c>
      <c r="J6" s="12" t="n">
        <v>9484</v>
      </c>
      <c r="K6" s="12" t="n">
        <v>36</v>
      </c>
    </row>
    <row r="7" customFormat="false" ht="15" hidden="false" customHeight="true" outlineLevel="0" collapsed="false">
      <c r="A7" s="13" t="s">
        <v>423</v>
      </c>
      <c r="B7" s="11" t="n">
        <f aca="false">SUM(B3:B6)</f>
        <v>210</v>
      </c>
      <c r="C7" s="11" t="n">
        <f aca="false">SUM(C3:C6)</f>
        <v>79</v>
      </c>
      <c r="D7" s="11" t="n">
        <f aca="false">SUM(D3:D6)</f>
        <v>289</v>
      </c>
      <c r="F7" s="11" t="s">
        <v>68</v>
      </c>
      <c r="G7" s="12" t="n">
        <v>30</v>
      </c>
      <c r="I7" s="11" t="s">
        <v>58</v>
      </c>
      <c r="J7" s="12" t="n">
        <v>16331</v>
      </c>
      <c r="K7" s="12" t="n">
        <v>45</v>
      </c>
    </row>
    <row r="8" customFormat="false" ht="15" hidden="false" customHeight="true" outlineLevel="0" collapsed="false">
      <c r="F8" s="11" t="s">
        <v>63</v>
      </c>
      <c r="G8" s="12" t="n">
        <v>29</v>
      </c>
    </row>
    <row r="9" customFormat="false" ht="15" hidden="false" customHeight="true" outlineLevel="0" collapsed="false">
      <c r="F9" s="11" t="s">
        <v>22</v>
      </c>
      <c r="G9" s="12" t="n">
        <v>23</v>
      </c>
    </row>
    <row r="10" customFormat="false" ht="15" hidden="false" customHeight="true" outlineLevel="0" collapsed="false">
      <c r="A10" s="9" t="s">
        <v>424</v>
      </c>
      <c r="B10" s="9"/>
      <c r="C10" s="9"/>
      <c r="D10" s="9"/>
      <c r="F10" s="13" t="s">
        <v>414</v>
      </c>
      <c r="G10" s="14" t="n">
        <f aca="false">SUM(G3:G9)</f>
        <v>226</v>
      </c>
    </row>
    <row r="11" customFormat="false" ht="15" hidden="false" customHeight="true" outlineLevel="0" collapsed="false">
      <c r="A11" s="10" t="s">
        <v>425</v>
      </c>
      <c r="B11" s="10" t="s">
        <v>426</v>
      </c>
      <c r="C11" s="10" t="s">
        <v>427</v>
      </c>
      <c r="D11" s="10" t="s">
        <v>416</v>
      </c>
    </row>
    <row r="12" customFormat="false" ht="15" hidden="false" customHeight="true" outlineLevel="0" collapsed="false">
      <c r="A12" s="11" t="s">
        <v>428</v>
      </c>
      <c r="B12" s="12" t="n">
        <v>6837</v>
      </c>
      <c r="C12" s="12" t="s">
        <v>429</v>
      </c>
      <c r="D12" s="12" t="n">
        <v>70</v>
      </c>
    </row>
    <row r="13" customFormat="false" ht="15" hidden="false" customHeight="true" outlineLevel="0" collapsed="false">
      <c r="A13" s="11" t="s">
        <v>430</v>
      </c>
      <c r="B13" s="12" t="n">
        <v>7656</v>
      </c>
      <c r="C13" s="12" t="s">
        <v>431</v>
      </c>
      <c r="D13" s="12" t="n">
        <v>65</v>
      </c>
    </row>
    <row r="14" customFormat="false" ht="15" hidden="false" customHeight="true" outlineLevel="0" collapsed="false">
      <c r="A14" s="11" t="s">
        <v>432</v>
      </c>
      <c r="B14" s="12" t="n">
        <v>5393</v>
      </c>
      <c r="C14" s="12" t="s">
        <v>433</v>
      </c>
      <c r="D14" s="12" t="n">
        <v>63</v>
      </c>
    </row>
    <row r="15" customFormat="false" ht="15" hidden="false" customHeight="true" outlineLevel="0" collapsed="false">
      <c r="A15" s="11" t="s">
        <v>434</v>
      </c>
      <c r="B15" s="12" t="n">
        <v>5707</v>
      </c>
      <c r="C15" s="12" t="s">
        <v>435</v>
      </c>
      <c r="D15" s="12" t="n">
        <v>42</v>
      </c>
    </row>
    <row r="16" customFormat="false" ht="15" hidden="false" customHeight="true" outlineLevel="0" collapsed="false">
      <c r="A16" s="11" t="s">
        <v>436</v>
      </c>
      <c r="B16" s="12" t="n">
        <v>7680</v>
      </c>
      <c r="C16" s="12" t="s">
        <v>437</v>
      </c>
      <c r="D16" s="12" t="n">
        <v>48</v>
      </c>
    </row>
  </sheetData>
  <mergeCells count="4">
    <mergeCell ref="A1:D1"/>
    <mergeCell ref="F1:G1"/>
    <mergeCell ref="I1:K1"/>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5"/>
  </cols>
  <sheetData>
    <row r="1" customFormat="false" ht="15" hidden="false" customHeight="true" outlineLevel="0" collapsed="false">
      <c r="A1" s="15" t="s">
        <v>415</v>
      </c>
      <c r="B1" s="15" t="s">
        <v>416</v>
      </c>
    </row>
    <row r="2" customFormat="false" ht="15" hidden="false" customHeight="true" outlineLevel="0" collapsed="false">
      <c r="A2" s="16" t="s">
        <v>31</v>
      </c>
      <c r="B2" s="16" t="n">
        <v>42</v>
      </c>
    </row>
    <row r="3" customFormat="false" ht="15" hidden="false" customHeight="true" outlineLevel="0" collapsed="false">
      <c r="A3" s="16" t="s">
        <v>66</v>
      </c>
      <c r="B3" s="16" t="n">
        <v>36</v>
      </c>
    </row>
    <row r="4" customFormat="false" ht="15" hidden="false" customHeight="true" outlineLevel="0" collapsed="false">
      <c r="A4" s="16" t="s">
        <v>56</v>
      </c>
      <c r="B4" s="16" t="n">
        <v>34</v>
      </c>
    </row>
    <row r="5" customFormat="false" ht="15" hidden="false" customHeight="true" outlineLevel="0" collapsed="false">
      <c r="A5" s="16" t="s">
        <v>39</v>
      </c>
      <c r="B5" s="16" t="n">
        <v>32</v>
      </c>
    </row>
    <row r="6" customFormat="false" ht="15" hidden="false" customHeight="true" outlineLevel="0" collapsed="false">
      <c r="A6" s="16" t="s">
        <v>68</v>
      </c>
      <c r="B6" s="16" t="n">
        <v>30</v>
      </c>
    </row>
    <row r="7" customFormat="false" ht="15" hidden="false" customHeight="true" outlineLevel="0" collapsed="false">
      <c r="A7" s="16" t="s">
        <v>63</v>
      </c>
      <c r="B7" s="16" t="n">
        <v>29</v>
      </c>
    </row>
    <row r="8" customFormat="false" ht="15" hidden="false" customHeight="true" outlineLevel="0" collapsed="false">
      <c r="A8" s="16" t="s">
        <v>22</v>
      </c>
      <c r="B8" s="16" t="n">
        <v>23</v>
      </c>
    </row>
    <row r="12" customFormat="false" ht="15" hidden="false" customHeight="true" outlineLevel="0" collapsed="false">
      <c r="A12" s="17" t="s">
        <v>438</v>
      </c>
      <c r="B12" s="17" t="s">
        <v>416</v>
      </c>
    </row>
    <row r="13" customFormat="false" ht="15" hidden="false" customHeight="true" outlineLevel="0" collapsed="false">
      <c r="A13" s="1" t="s">
        <v>34</v>
      </c>
      <c r="B13" s="1" t="n">
        <v>148</v>
      </c>
    </row>
    <row r="14" customFormat="false" ht="15" hidden="false" customHeight="true" outlineLevel="0" collapsed="false">
      <c r="A14" s="1" t="s">
        <v>71</v>
      </c>
      <c r="B14" s="1" t="n">
        <v>57</v>
      </c>
    </row>
    <row r="15" customFormat="false" ht="15" hidden="false" customHeight="true" outlineLevel="0" collapsed="false">
      <c r="A15" s="1" t="s">
        <v>26</v>
      </c>
      <c r="B15" s="1" t="n">
        <v>56</v>
      </c>
    </row>
    <row r="16" customFormat="false" ht="15" hidden="false" customHeight="true" outlineLevel="0" collapsed="false">
      <c r="A16" s="1" t="s">
        <v>84</v>
      </c>
      <c r="B16" s="1" t="n">
        <v>42</v>
      </c>
    </row>
    <row r="22" customFormat="false" ht="15" hidden="false" customHeight="true" outlineLevel="0" collapsed="false">
      <c r="A22" s="17" t="s">
        <v>439</v>
      </c>
      <c r="B22" s="17" t="s">
        <v>416</v>
      </c>
    </row>
    <row r="23" customFormat="false" ht="15" hidden="false" customHeight="true" outlineLevel="0" collapsed="false">
      <c r="A23" s="1" t="n">
        <v>1</v>
      </c>
      <c r="B23" s="1" t="n">
        <v>56</v>
      </c>
    </row>
    <row r="24" customFormat="false" ht="15" hidden="false" customHeight="true" outlineLevel="0" collapsed="false">
      <c r="A24" s="1" t="n">
        <v>2</v>
      </c>
      <c r="B24" s="1" t="n">
        <v>53</v>
      </c>
    </row>
    <row r="25" customFormat="false" ht="15" hidden="false" customHeight="true" outlineLevel="0" collapsed="false">
      <c r="A25" s="1" t="n">
        <v>3</v>
      </c>
      <c r="B25" s="1" t="n">
        <v>72</v>
      </c>
    </row>
    <row r="26" customFormat="false" ht="15" hidden="false" customHeight="true" outlineLevel="0" collapsed="false">
      <c r="A26" s="1" t="n">
        <v>4</v>
      </c>
      <c r="B26" s="1" t="n">
        <v>57</v>
      </c>
    </row>
    <row r="27" customFormat="false" ht="15" hidden="false" customHeight="true" outlineLevel="0" collapsed="false">
      <c r="A27" s="1" t="n">
        <v>5</v>
      </c>
      <c r="B27" s="1" t="n">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8"/>
    <col collapsed="false" customWidth="true" hidden="false" outlineLevel="0" max="3" min="3" style="1" width="58"/>
    <col collapsed="false" customWidth="true" hidden="false" outlineLevel="0" max="4" min="4" style="1" width="28"/>
  </cols>
  <sheetData>
    <row r="1" customFormat="false" ht="30" hidden="false" customHeight="true" outlineLevel="0" collapsed="false">
      <c r="A1" s="18" t="s">
        <v>440</v>
      </c>
      <c r="B1" s="18"/>
      <c r="C1" s="18"/>
      <c r="D1" s="18"/>
    </row>
    <row r="2" customFormat="false" ht="15" hidden="false" customHeight="true" outlineLevel="0" collapsed="false">
      <c r="A2" s="10" t="s">
        <v>441</v>
      </c>
      <c r="B2" s="10" t="s">
        <v>442</v>
      </c>
      <c r="C2" s="10" t="s">
        <v>443</v>
      </c>
      <c r="D2" s="10" t="s">
        <v>444</v>
      </c>
    </row>
    <row r="3" customFormat="false" ht="54.75" hidden="false" customHeight="true" outlineLevel="0" collapsed="false">
      <c r="A3" s="19" t="s">
        <v>445</v>
      </c>
      <c r="B3" s="20" t="s">
        <v>446</v>
      </c>
      <c r="C3" s="21" t="s">
        <v>447</v>
      </c>
      <c r="D3" s="21" t="s">
        <v>448</v>
      </c>
    </row>
    <row r="4" customFormat="false" ht="54.75" hidden="false" customHeight="true" outlineLevel="0" collapsed="false">
      <c r="A4" s="22" t="s">
        <v>449</v>
      </c>
      <c r="B4" s="23" t="s">
        <v>450</v>
      </c>
      <c r="C4" s="24" t="s">
        <v>451</v>
      </c>
      <c r="D4" s="24" t="s">
        <v>452</v>
      </c>
    </row>
    <row r="5" customFormat="false" ht="54.75" hidden="false" customHeight="true" outlineLevel="0" collapsed="false">
      <c r="A5" s="25" t="s">
        <v>453</v>
      </c>
      <c r="B5" s="26" t="s">
        <v>454</v>
      </c>
      <c r="C5" s="27" t="s">
        <v>455</v>
      </c>
      <c r="D5" s="27" t="s">
        <v>456</v>
      </c>
    </row>
    <row r="6" customFormat="false" ht="54.75" hidden="false" customHeight="true" outlineLevel="0" collapsed="false">
      <c r="A6" s="28" t="s">
        <v>457</v>
      </c>
      <c r="B6" s="29" t="s">
        <v>458</v>
      </c>
      <c r="C6" s="30" t="s">
        <v>459</v>
      </c>
      <c r="D6" s="30" t="s">
        <v>460</v>
      </c>
    </row>
    <row r="7" customFormat="false" ht="54.75" hidden="false" customHeight="true" outlineLevel="0" collapsed="false">
      <c r="A7" s="31" t="s">
        <v>461</v>
      </c>
      <c r="B7" s="32" t="s">
        <v>462</v>
      </c>
      <c r="C7" s="33" t="s">
        <v>463</v>
      </c>
      <c r="D7" s="33" t="s">
        <v>464</v>
      </c>
    </row>
    <row r="8" customFormat="false" ht="54.75" hidden="false" customHeight="true" outlineLevel="0" collapsed="false">
      <c r="A8" s="34" t="s">
        <v>465</v>
      </c>
      <c r="B8" s="35" t="s">
        <v>466</v>
      </c>
      <c r="C8" s="36" t="s">
        <v>467</v>
      </c>
      <c r="D8" s="36" t="s">
        <v>468</v>
      </c>
    </row>
    <row r="9" customFormat="false" ht="54.75" hidden="false" customHeight="true" outlineLevel="0" collapsed="false">
      <c r="A9" s="37" t="s">
        <v>469</v>
      </c>
      <c r="B9" s="38" t="s">
        <v>470</v>
      </c>
      <c r="C9" s="39" t="s">
        <v>471</v>
      </c>
      <c r="D9" s="39" t="s">
        <v>472</v>
      </c>
    </row>
    <row r="10" customFormat="false" ht="54.75" hidden="false" customHeight="true" outlineLevel="0" collapsed="false">
      <c r="A10" s="40" t="s">
        <v>473</v>
      </c>
      <c r="B10" s="41" t="s">
        <v>474</v>
      </c>
      <c r="C10" s="42" t="s">
        <v>475</v>
      </c>
      <c r="D10" s="42" t="s">
        <v>476</v>
      </c>
    </row>
    <row r="11" customFormat="false" ht="54.75" hidden="false" customHeight="true" outlineLevel="0" collapsed="false">
      <c r="A11" s="43" t="s">
        <v>477</v>
      </c>
      <c r="B11" s="44" t="s">
        <v>478</v>
      </c>
      <c r="C11" s="45" t="s">
        <v>479</v>
      </c>
      <c r="D11" s="45" t="s">
        <v>480</v>
      </c>
    </row>
    <row r="12" customFormat="false" ht="54.75" hidden="false" customHeight="true" outlineLevel="0" collapsed="false">
      <c r="A12" s="46" t="s">
        <v>481</v>
      </c>
      <c r="B12" s="47" t="s">
        <v>482</v>
      </c>
      <c r="C12" s="48" t="s">
        <v>483</v>
      </c>
      <c r="D12" s="48" t="s">
        <v>484</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85"/>
  </cols>
  <sheetData>
    <row r="1" customFormat="false" ht="21.75" hidden="false" customHeight="true" outlineLevel="0" collapsed="false">
      <c r="A1" s="49" t="s">
        <v>485</v>
      </c>
      <c r="B1" s="49"/>
    </row>
    <row r="2" customFormat="false" ht="54.75" hidden="false" customHeight="true" outlineLevel="0" collapsed="false">
      <c r="A2" s="50" t="s">
        <v>486</v>
      </c>
      <c r="B2" s="51" t="s">
        <v>487</v>
      </c>
    </row>
    <row r="3" customFormat="false" ht="54.75" hidden="false" customHeight="true" outlineLevel="0" collapsed="false">
      <c r="A3" s="50" t="s">
        <v>488</v>
      </c>
      <c r="B3" s="51" t="s">
        <v>489</v>
      </c>
    </row>
    <row r="4" customFormat="false" ht="54.75" hidden="false" customHeight="true" outlineLevel="0" collapsed="false">
      <c r="A4" s="50" t="s">
        <v>490</v>
      </c>
      <c r="B4" s="51" t="s">
        <v>491</v>
      </c>
    </row>
    <row r="5" customFormat="false" ht="54.75" hidden="false" customHeight="true" outlineLevel="0" collapsed="false">
      <c r="A5" s="50" t="s">
        <v>492</v>
      </c>
      <c r="B5" s="51" t="s">
        <v>493</v>
      </c>
    </row>
    <row r="7" customFormat="false" ht="21.75" hidden="false" customHeight="true" outlineLevel="0" collapsed="false">
      <c r="A7" s="49" t="s">
        <v>494</v>
      </c>
      <c r="B7" s="49"/>
    </row>
    <row r="8" customFormat="false" ht="54.75" hidden="false" customHeight="true" outlineLevel="0" collapsed="false">
      <c r="A8" s="50" t="s">
        <v>495</v>
      </c>
      <c r="B8" s="51" t="s">
        <v>496</v>
      </c>
    </row>
    <row r="9" customFormat="false" ht="54.75" hidden="false" customHeight="true" outlineLevel="0" collapsed="false">
      <c r="A9" s="50" t="s">
        <v>497</v>
      </c>
      <c r="B9" s="51" t="s">
        <v>498</v>
      </c>
    </row>
    <row r="10" customFormat="false" ht="54.75" hidden="false" customHeight="true" outlineLevel="0" collapsed="false">
      <c r="A10" s="50" t="s">
        <v>499</v>
      </c>
      <c r="B10" s="51" t="s">
        <v>500</v>
      </c>
    </row>
    <row r="12" customFormat="false" ht="21.75" hidden="false" customHeight="true" outlineLevel="0" collapsed="false">
      <c r="A12" s="49" t="s">
        <v>501</v>
      </c>
      <c r="B12" s="49"/>
    </row>
    <row r="13" customFormat="false" ht="54.75" hidden="false" customHeight="true" outlineLevel="0" collapsed="false">
      <c r="A13" s="50" t="s">
        <v>502</v>
      </c>
      <c r="B13" s="51" t="s">
        <v>503</v>
      </c>
    </row>
    <row r="14" customFormat="false" ht="54.75" hidden="false" customHeight="true" outlineLevel="0" collapsed="false">
      <c r="A14" s="50" t="s">
        <v>504</v>
      </c>
      <c r="B14" s="51" t="s">
        <v>505</v>
      </c>
    </row>
    <row r="15" customFormat="false" ht="54.75" hidden="false" customHeight="true" outlineLevel="0" collapsed="false">
      <c r="A15" s="50" t="s">
        <v>506</v>
      </c>
      <c r="B15" s="51" t="s">
        <v>507</v>
      </c>
    </row>
    <row r="16" customFormat="false" ht="54.75" hidden="false" customHeight="true" outlineLevel="0" collapsed="false">
      <c r="A16" s="50" t="s">
        <v>508</v>
      </c>
      <c r="B16" s="51" t="s">
        <v>509</v>
      </c>
    </row>
    <row r="17" customFormat="false" ht="54.75" hidden="false" customHeight="true" outlineLevel="0" collapsed="false">
      <c r="A17" s="50" t="s">
        <v>510</v>
      </c>
      <c r="B17" s="51" t="s">
        <v>511</v>
      </c>
    </row>
    <row r="19" customFormat="false" ht="21.75" hidden="false" customHeight="true" outlineLevel="0" collapsed="false">
      <c r="A19" s="49" t="s">
        <v>512</v>
      </c>
      <c r="B19" s="49"/>
    </row>
    <row r="20" customFormat="false" ht="54.75" hidden="false" customHeight="true" outlineLevel="0" collapsed="false">
      <c r="A20" s="50" t="s">
        <v>513</v>
      </c>
      <c r="B20" s="51" t="s">
        <v>514</v>
      </c>
    </row>
    <row r="21" customFormat="false" ht="54.75" hidden="false" customHeight="true" outlineLevel="0" collapsed="false">
      <c r="A21" s="50" t="s">
        <v>515</v>
      </c>
      <c r="B21" s="51" t="s">
        <v>516</v>
      </c>
    </row>
    <row r="22" customFormat="false" ht="54.75" hidden="false" customHeight="true" outlineLevel="0" collapsed="false">
      <c r="A22" s="50" t="s">
        <v>517</v>
      </c>
      <c r="B22" s="51" t="s">
        <v>518</v>
      </c>
    </row>
    <row r="23" customFormat="false" ht="54.75" hidden="false" customHeight="true" outlineLevel="0" collapsed="false">
      <c r="A23" s="50" t="s">
        <v>519</v>
      </c>
      <c r="B23" s="51" t="s">
        <v>520</v>
      </c>
    </row>
    <row r="24" customFormat="false" ht="54.75" hidden="false" customHeight="true" outlineLevel="0" collapsed="false">
      <c r="A24" s="50" t="s">
        <v>521</v>
      </c>
      <c r="B24" s="51" t="s">
        <v>522</v>
      </c>
    </row>
    <row r="26" customFormat="false" ht="21.75" hidden="false" customHeight="true" outlineLevel="0" collapsed="false">
      <c r="A26" s="49" t="s">
        <v>523</v>
      </c>
      <c r="B26" s="49"/>
    </row>
    <row r="27" customFormat="false" ht="54.75" hidden="false" customHeight="true" outlineLevel="0" collapsed="false">
      <c r="A27" s="50" t="s">
        <v>524</v>
      </c>
      <c r="B27" s="51" t="s">
        <v>525</v>
      </c>
    </row>
    <row r="28" customFormat="false" ht="54.75" hidden="false" customHeight="true" outlineLevel="0" collapsed="false">
      <c r="A28" s="50" t="s">
        <v>526</v>
      </c>
      <c r="B28" s="51" t="s">
        <v>527</v>
      </c>
    </row>
    <row r="29" customFormat="false" ht="54.75" hidden="false" customHeight="true" outlineLevel="0" collapsed="false">
      <c r="A29" s="50" t="s">
        <v>528</v>
      </c>
      <c r="B29" s="51" t="s">
        <v>529</v>
      </c>
    </row>
    <row r="30" customFormat="false" ht="54.75" hidden="false" customHeight="true" outlineLevel="0" collapsed="false">
      <c r="A30" s="50" t="s">
        <v>530</v>
      </c>
      <c r="B30" s="51" t="s">
        <v>531</v>
      </c>
    </row>
    <row r="31" customFormat="false" ht="54.75" hidden="false" customHeight="true" outlineLevel="0" collapsed="false">
      <c r="A31" s="50" t="s">
        <v>466</v>
      </c>
      <c r="B31" s="51" t="s">
        <v>532</v>
      </c>
    </row>
    <row r="33" customFormat="false" ht="21.75" hidden="false" customHeight="true" outlineLevel="0" collapsed="false">
      <c r="A33" s="49" t="s">
        <v>533</v>
      </c>
      <c r="B33" s="49"/>
    </row>
    <row r="34" customFormat="false" ht="54.75" hidden="false" customHeight="true" outlineLevel="0" collapsed="false">
      <c r="A34" s="50" t="s">
        <v>534</v>
      </c>
      <c r="B34" s="51" t="s">
        <v>535</v>
      </c>
    </row>
    <row r="35" customFormat="false" ht="54.75" hidden="false" customHeight="true" outlineLevel="0" collapsed="false">
      <c r="A35" s="50" t="s">
        <v>536</v>
      </c>
      <c r="B35" s="51" t="s">
        <v>537</v>
      </c>
    </row>
    <row r="36" customFormat="false" ht="54.75" hidden="false" customHeight="true" outlineLevel="0" collapsed="false">
      <c r="A36" s="50" t="s">
        <v>538</v>
      </c>
      <c r="B36" s="51" t="s">
        <v>539</v>
      </c>
    </row>
    <row r="37" customFormat="false" ht="54.75" hidden="false" customHeight="true" outlineLevel="0" collapsed="false">
      <c r="A37" s="50" t="s">
        <v>540</v>
      </c>
      <c r="B37" s="51" t="s">
        <v>541</v>
      </c>
    </row>
    <row r="38" customFormat="false" ht="54.75" hidden="false" customHeight="true" outlineLevel="0" collapsed="false">
      <c r="A38" s="50" t="s">
        <v>542</v>
      </c>
      <c r="B38" s="51" t="s">
        <v>543</v>
      </c>
    </row>
    <row r="39" customFormat="false" ht="54.75" hidden="false" customHeight="true" outlineLevel="0" collapsed="false">
      <c r="A39" s="50" t="s">
        <v>544</v>
      </c>
      <c r="B39" s="51" t="s">
        <v>545</v>
      </c>
    </row>
  </sheetData>
  <mergeCells count="6">
    <mergeCell ref="A1:B1"/>
    <mergeCell ref="A7:B7"/>
    <mergeCell ref="A12:B12"/>
    <mergeCell ref="A19:B19"/>
    <mergeCell ref="A26:B26"/>
    <mergeCell ref="A33:B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42774"/>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65"/>
  </cols>
  <sheetData>
    <row r="1" customFormat="false" ht="27.75" hidden="false" customHeight="true" outlineLevel="0" collapsed="false">
      <c r="A1" s="52" t="s">
        <v>546</v>
      </c>
      <c r="B1" s="52"/>
      <c r="C1" s="52"/>
    </row>
    <row r="2" customFormat="false" ht="15" hidden="false" customHeight="true" outlineLevel="0" collapsed="false">
      <c r="A2" s="10" t="s">
        <v>547</v>
      </c>
      <c r="B2" s="10" t="s">
        <v>548</v>
      </c>
      <c r="C2" s="10" t="s">
        <v>549</v>
      </c>
    </row>
    <row r="3" customFormat="false" ht="51.75" hidden="false" customHeight="true" outlineLevel="0" collapsed="false">
      <c r="A3" s="20" t="s">
        <v>550</v>
      </c>
      <c r="B3" s="20" t="s">
        <v>551</v>
      </c>
      <c r="C3" s="21" t="s">
        <v>552</v>
      </c>
    </row>
    <row r="4" customFormat="false" ht="51.75" hidden="false" customHeight="true" outlineLevel="0" collapsed="false">
      <c r="A4" s="29" t="s">
        <v>553</v>
      </c>
      <c r="B4" s="29" t="s">
        <v>554</v>
      </c>
      <c r="C4" s="30" t="s">
        <v>555</v>
      </c>
    </row>
    <row r="5" customFormat="false" ht="51.75" hidden="false" customHeight="true" outlineLevel="0" collapsed="false">
      <c r="A5" s="32" t="s">
        <v>556</v>
      </c>
      <c r="B5" s="32" t="s">
        <v>557</v>
      </c>
      <c r="C5" s="33" t="s">
        <v>558</v>
      </c>
    </row>
    <row r="6" customFormat="false" ht="51.75" hidden="false" customHeight="true" outlineLevel="0" collapsed="false">
      <c r="A6" s="26" t="s">
        <v>559</v>
      </c>
      <c r="B6" s="26" t="s">
        <v>560</v>
      </c>
      <c r="C6" s="27" t="s">
        <v>561</v>
      </c>
    </row>
    <row r="7" customFormat="false" ht="51.75" hidden="false" customHeight="true" outlineLevel="0" collapsed="false">
      <c r="A7" s="35" t="s">
        <v>562</v>
      </c>
      <c r="B7" s="35" t="s">
        <v>563</v>
      </c>
      <c r="C7" s="36" t="s">
        <v>564</v>
      </c>
    </row>
    <row r="8" customFormat="false" ht="51.75" hidden="false" customHeight="true" outlineLevel="0" collapsed="false">
      <c r="A8" s="47" t="s">
        <v>565</v>
      </c>
      <c r="B8" s="47" t="s">
        <v>566</v>
      </c>
      <c r="C8" s="48" t="s">
        <v>567</v>
      </c>
    </row>
    <row r="9" customFormat="false" ht="51.75" hidden="false" customHeight="true" outlineLevel="0" collapsed="false">
      <c r="A9" s="20" t="s">
        <v>568</v>
      </c>
      <c r="B9" s="20" t="s">
        <v>569</v>
      </c>
      <c r="C9" s="21" t="s">
        <v>570</v>
      </c>
    </row>
    <row r="10" customFormat="false" ht="51.75" hidden="false" customHeight="true" outlineLevel="0" collapsed="false">
      <c r="A10" s="29" t="s">
        <v>571</v>
      </c>
      <c r="B10" s="29" t="s">
        <v>572</v>
      </c>
      <c r="C10" s="30" t="s">
        <v>573</v>
      </c>
    </row>
    <row r="11" customFormat="false" ht="51.75" hidden="false" customHeight="true" outlineLevel="0" collapsed="false">
      <c r="A11" s="32" t="s">
        <v>574</v>
      </c>
      <c r="B11" s="32" t="s">
        <v>575</v>
      </c>
      <c r="C11" s="33" t="s">
        <v>576</v>
      </c>
    </row>
    <row r="12" customFormat="false" ht="51.75" hidden="false" customHeight="true" outlineLevel="0" collapsed="false">
      <c r="A12" s="26" t="s">
        <v>577</v>
      </c>
      <c r="B12" s="26" t="s">
        <v>578</v>
      </c>
      <c r="C12" s="27" t="s">
        <v>579</v>
      </c>
    </row>
    <row r="13" customFormat="false" ht="51.75" hidden="false" customHeight="true" outlineLevel="0" collapsed="false">
      <c r="A13" s="35" t="s">
        <v>580</v>
      </c>
      <c r="B13" s="35" t="s">
        <v>581</v>
      </c>
      <c r="C13" s="36" t="s">
        <v>582</v>
      </c>
    </row>
    <row r="14" customFormat="false" ht="51.75" hidden="false" customHeight="true" outlineLevel="0" collapsed="false">
      <c r="A14" s="47" t="s">
        <v>583</v>
      </c>
      <c r="B14" s="47" t="s">
        <v>584</v>
      </c>
      <c r="C14" s="48" t="s">
        <v>585</v>
      </c>
    </row>
    <row r="15" customFormat="false" ht="51.75" hidden="false" customHeight="true" outlineLevel="0" collapsed="false">
      <c r="A15" s="20" t="s">
        <v>586</v>
      </c>
      <c r="B15" s="20" t="s">
        <v>587</v>
      </c>
      <c r="C15" s="21" t="s">
        <v>588</v>
      </c>
    </row>
    <row r="16" customFormat="false" ht="51.75" hidden="false" customHeight="true" outlineLevel="0" collapsed="false">
      <c r="A16" s="29" t="s">
        <v>589</v>
      </c>
      <c r="B16" s="29" t="s">
        <v>590</v>
      </c>
      <c r="C16" s="30" t="s">
        <v>591</v>
      </c>
    </row>
    <row r="17" customFormat="false" ht="51.75" hidden="false" customHeight="true" outlineLevel="0" collapsed="false">
      <c r="A17" s="32" t="s">
        <v>592</v>
      </c>
      <c r="B17" s="32" t="s">
        <v>593</v>
      </c>
      <c r="C17" s="33" t="s">
        <v>594</v>
      </c>
    </row>
    <row r="18" customFormat="false" ht="51.75" hidden="false" customHeight="true" outlineLevel="0" collapsed="false">
      <c r="A18" s="26" t="s">
        <v>595</v>
      </c>
      <c r="B18" s="26" t="s">
        <v>596</v>
      </c>
      <c r="C18" s="27" t="s">
        <v>597</v>
      </c>
    </row>
    <row r="19" customFormat="false" ht="51.75" hidden="false" customHeight="true" outlineLevel="0" collapsed="false">
      <c r="A19" s="35" t="s">
        <v>598</v>
      </c>
      <c r="B19" s="35" t="s">
        <v>599</v>
      </c>
      <c r="C19" s="36" t="s">
        <v>600</v>
      </c>
    </row>
    <row r="20" customFormat="false" ht="51.75" hidden="false" customHeight="true" outlineLevel="0" collapsed="false">
      <c r="A20" s="47" t="s">
        <v>601</v>
      </c>
      <c r="B20" s="47" t="s">
        <v>602</v>
      </c>
      <c r="C20" s="48" t="s">
        <v>603</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2026-04-22T20:15:54Z</dcterms:created>
  <dc:creator>openpyxl</dc:creator>
  <dc:description/>
  <dc:language>en-US</dc:language>
  <cp:lastModifiedBy/>
  <dcterms:modified xsi:type="dcterms:W3CDTF">2026-04-22T20:16:16Z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